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00_LEIA-ME" sheetId="1" state="visible" r:id="rId1"/>
    <sheet name="01_PREMISSAS" sheetId="2" state="visible" r:id="rId2"/>
    <sheet name="02_DIVERGENCIAS" sheetId="3" state="visible" r:id="rId3"/>
    <sheet name="03_FLUXO_DA_TRILHA" sheetId="4" state="visible" r:id="rId4"/>
    <sheet name="04_RESUMO_EXECUTIVO" sheetId="5" state="visible" r:id="rId5"/>
    <sheet name="05_COMPARATIVO_CENARIOS" sheetId="6" state="visible" r:id="rId6"/>
    <sheet name="06_CENARIO_A" sheetId="7" state="visible" r:id="rId7"/>
    <sheet name="07_CENARIO_B" sheetId="8" state="visible" r:id="rId8"/>
    <sheet name="08_CENARIO_C" sheetId="9" state="visible" r:id="rId9"/>
    <sheet name="09_CENARIO_D" sheetId="10" state="visible" r:id="rId10"/>
    <sheet name="10_CRONOGRAMA_MESTRE" sheetId="11" state="visible" r:id="rId11"/>
    <sheet name="11_AGENDA_POR_SALA" sheetId="12" state="visible" r:id="rId12"/>
    <sheet name="12_TURMAS_DH" sheetId="13" state="visible" r:id="rId13"/>
    <sheet name="13_OFICINAS_GESTAO" sheetId="14" state="visible" r:id="rId14"/>
    <sheet name="14_CURSOS_TECNICOS" sheetId="15" state="visible" r:id="rId15"/>
    <sheet name="15_EAD_CONSULTORIAS" sheetId="16" state="visible" r:id="rId16"/>
    <sheet name="16_RISCOS_E_DECISOES" sheetId="17" state="visible" r:id="rId17"/>
    <sheet name="17_GANTT_EXECUTIV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A5A5A"/>
      <sz val="11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sz val="9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b val="1"/>
      <color rgb="00000000"/>
      <sz val="11"/>
    </font>
    <font>
      <b val="1"/>
      <i val="1"/>
      <sz val="9"/>
    </font>
    <font>
      <b val="1"/>
      <color rgb="001F3864"/>
      <sz val="20"/>
    </font>
    <font>
      <name val="Calibri"/>
      <i val="1"/>
      <color rgb="005A5A5A"/>
      <sz val="9"/>
    </font>
    <font>
      <i val="1"/>
      <color rgb="00C0392B"/>
      <sz val="9"/>
    </font>
    <font>
      <b val="1"/>
      <sz val="10"/>
    </font>
    <font>
      <b val="1"/>
      <color rgb="00FFFFFF"/>
      <sz val="11"/>
    </font>
    <font>
      <b val="1"/>
      <i val="1"/>
      <color rgb="00C0392B"/>
    </font>
    <font>
      <b val="1"/>
      <color rgb="00FFFFFF"/>
      <sz val="13"/>
    </font>
    <font>
      <b val="1"/>
      <sz val="9"/>
    </font>
    <font>
      <b val="1"/>
      <sz val="11"/>
    </font>
    <font>
      <b val="1"/>
      <color rgb="00FFFFFF"/>
      <sz val="12"/>
    </font>
    <font>
      <sz val="9"/>
    </font>
    <font>
      <b val="1"/>
      <color rgb="001F3864"/>
      <sz val="7"/>
    </font>
    <font>
      <b val="1"/>
      <sz val="8"/>
    </font>
    <font>
      <sz val="8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DC8"/>
      </patternFill>
    </fill>
    <fill>
      <patternFill patternType="solid">
        <fgColor rgb="00FCE9B4"/>
      </patternFill>
    </fill>
    <fill>
      <patternFill patternType="solid">
        <fgColor rgb="00F8D7D3"/>
      </patternFill>
    </fill>
    <fill>
      <patternFill patternType="solid">
        <fgColor rgb="00D9D9D9"/>
      </patternFill>
    </fill>
    <fill>
      <patternFill patternType="solid">
        <fgColor rgb="00D8EEE9"/>
      </patternFill>
    </fill>
    <fill>
      <patternFill patternType="solid">
        <fgColor rgb="00D9E2F3"/>
      </patternFill>
    </fill>
    <fill>
      <patternFill patternType="solid">
        <fgColor rgb="002E5395"/>
      </patternFill>
    </fill>
    <fill>
      <patternFill patternType="solid">
        <fgColor rgb="00F4B183"/>
      </patternFill>
    </fill>
    <fill>
      <patternFill patternType="solid">
        <fgColor rgb="009DC3E6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B4A7D6"/>
      </patternFill>
    </fill>
    <fill>
      <patternFill patternType="solid">
        <fgColor rgb="00F1948A"/>
      </patternFill>
    </fill>
    <fill>
      <patternFill patternType="solid">
        <fgColor rgb="000F6B5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8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8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8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8" fillId="14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8" fillId="15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1" fillId="0" borderId="0" pivotButton="0" quotePrefix="0" xfId="0"/>
    <xf numFmtId="0" fontId="0" fillId="0" borderId="1" pivotButton="0" quotePrefix="0" xfId="0"/>
    <xf numFmtId="0" fontId="4" fillId="1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6" fillId="16" borderId="0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165" fontId="18" fillId="17" borderId="1" applyAlignment="1" pivotButton="0" quotePrefix="0" xfId="0">
      <alignment horizontal="center"/>
    </xf>
    <xf numFmtId="0" fontId="7" fillId="9" borderId="0" pivotButton="0" quotePrefix="0" xfId="0"/>
    <xf numFmtId="0" fontId="0" fillId="6" borderId="1" pivotButton="0" quotePrefix="0" xfId="0"/>
    <xf numFmtId="0" fontId="19" fillId="2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13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16" borderId="0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165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6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10" borderId="0" pivotButton="0" quotePrefix="0" xfId="0"/>
    <xf numFmtId="0" fontId="7" fillId="11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15" fillId="5" borderId="0" applyAlignment="1" pivotButton="0" quotePrefix="0" xfId="0">
      <alignment vertical="center" wrapText="1" inden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6" fontId="21" fillId="8" borderId="1" applyAlignment="1" pivotButton="0" quotePrefix="0" xfId="0">
      <alignment horizontal="center" vertical="center" textRotation="90"/>
    </xf>
    <xf numFmtId="0" fontId="22" fillId="0" borderId="1" applyAlignment="1" pivotButton="0" quotePrefix="0" xfId="0">
      <alignment vertical="center"/>
    </xf>
    <xf numFmtId="0" fontId="2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2:C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90" customWidth="1" min="3" max="3"/>
    <col width="3" customWidth="1" min="4" max="4"/>
  </cols>
  <sheetData>
    <row r="2" ht="28" customHeight="1">
      <c r="B2" s="1" t="inlineStr">
        <is>
          <t>PARTIU! APRENDER E EMPREENDER — CRONOGRAMA PAULÍNIA (NÚCLEO 2)</t>
        </is>
      </c>
    </row>
    <row r="3">
      <c r="B3" s="2" t="inlineStr">
        <is>
          <t>Instituto da Criança · Sebrae · Petrobras — Material de apoio à decisão e negociação | Gerado em 21/07/2026</t>
        </is>
      </c>
    </row>
    <row r="5">
      <c r="B5" s="3" t="inlineStr">
        <is>
          <t>O QUE É ESTE ARQUIVO</t>
        </is>
      </c>
    </row>
    <row r="6" ht="60" customHeight="1">
      <c r="B6" s="4" t="inlineStr">
        <is>
          <t>Este arquivo consolida e cruza 4 documentos-fonte recebidos sobre o projeto em Paulínia: (1) a apresentação macro do projeto com metas contratuais; (2) a planilha operacional de turmas/cargas horárias; (3) uma tentativa anterior de cronograma da coordenação; e (4) uma simulação inicial de 4 cenários de salas/frequência do Desenvolvimento Humano (DH). Os 4 arquivos originais NÃO foram alterados. Onde os documentos divergem, a divergência foi preservada e classificada — nenhum número foi escolhido "por conta própria" sem sinalização.</t>
        </is>
      </c>
    </row>
    <row r="7"/>
    <row r="8"/>
    <row r="10">
      <c r="B10" s="3" t="inlineStr">
        <is>
          <t>COMO CLASSIFICAMOS CADA INFORMAÇÃO</t>
        </is>
      </c>
    </row>
    <row r="11" ht="28" customHeight="1">
      <c r="B11" s="5" t="inlineStr">
        <is>
          <t>Confirmada</t>
        </is>
      </c>
      <c r="C11" s="6" t="inlineStr">
        <is>
          <t>Valor igual em pelo menos 2 fontes independentes, sem contradição.</t>
        </is>
      </c>
    </row>
    <row r="12" ht="28" customHeight="1">
      <c r="B12" s="7" t="inlineStr">
        <is>
          <t>Premissa provisória</t>
        </is>
      </c>
      <c r="C12" s="6" t="inlineStr">
        <is>
          <t>Valor usado para construir o cronograma na ausência de confirmação formal; pode mudar.</t>
        </is>
      </c>
    </row>
    <row r="13" ht="28" customHeight="1">
      <c r="B13" s="8" t="inlineStr">
        <is>
          <t>Divergência entre documentos</t>
        </is>
      </c>
      <c r="C13" s="6" t="inlineStr">
        <is>
          <t>Os documentos-fonte trazem valores diferentes para o mesmo item; nenhum foi descartado.</t>
        </is>
      </c>
    </row>
    <row r="14" ht="28" customHeight="1">
      <c r="B14" s="9" t="inlineStr">
        <is>
          <t>Informação pendente de validação</t>
        </is>
      </c>
      <c r="C14" s="6" t="inlineStr">
        <is>
          <t>Dado ausente, incompleto ou com placeholder (ex.: fornecedor "?").</t>
        </is>
      </c>
    </row>
    <row r="15" ht="28" customHeight="1">
      <c r="B15" s="10" t="inlineStr">
        <is>
          <t>Decisão recomendada</t>
        </is>
      </c>
      <c r="C15" s="6" t="inlineStr">
        <is>
          <t>Recomendação da análise, com justificativa — não é um fato, é uma sugestão de encaminhamento.</t>
        </is>
      </c>
    </row>
    <row r="17">
      <c r="B17" s="3" t="inlineStr">
        <is>
          <t>COMO NAVEGAR</t>
        </is>
      </c>
    </row>
    <row r="18" ht="26" customHeight="1">
      <c r="B18" s="11" t="inlineStr">
        <is>
          <t>01_PREMISSAS</t>
        </is>
      </c>
      <c r="C18" s="6" t="inlineStr">
        <is>
          <t>Painel de premissas editáveis (células amarelas). Altere aqui frequência de DH, nº de salas, carga horária etc.</t>
        </is>
      </c>
    </row>
    <row r="19" ht="26" customHeight="1">
      <c r="B19" s="11" t="inlineStr">
        <is>
          <t>02_DIVERGENCIAS</t>
        </is>
      </c>
      <c r="C19" s="6" t="inlineStr">
        <is>
          <t>Tabela completa de conflitos entre os 4 documentos, com decisão provisória e responsável pela validação.</t>
        </is>
      </c>
    </row>
    <row r="20" ht="26" customHeight="1">
      <c r="B20" s="11" t="inlineStr">
        <is>
          <t>03_FLUXO_DA_TRILHA</t>
        </is>
      </c>
      <c r="C20" s="6" t="inlineStr">
        <is>
          <t>Mapa da trilha PS → DH → OG → CT → EAD → CI, com as regras quantitativas encontradas (e o que é premissa).</t>
        </is>
      </c>
    </row>
    <row r="21" ht="26" customHeight="1">
      <c r="B21" s="11" t="inlineStr">
        <is>
          <t>04_RESUMO_EXECUTIVO</t>
        </is>
      </c>
      <c r="C21" s="6" t="inlineStr">
        <is>
          <t>Visão de 1 página para Sebrae/Petrobras — leitura em menos de 2 minutos.</t>
        </is>
      </c>
    </row>
    <row r="22" ht="26" customHeight="1">
      <c r="B22" s="11" t="inlineStr">
        <is>
          <t>05_COMPARATIVO_CENARIOS</t>
        </is>
      </c>
      <c r="C22" s="6" t="inlineStr">
        <is>
          <t>Painel comparativo dos 4 cenários de sala/frequência do DH, com semáforo de viabilidade.</t>
        </is>
      </c>
    </row>
    <row r="23" ht="26" customHeight="1">
      <c r="B23" s="11" t="inlineStr">
        <is>
          <t>06 a 09_CENARIO A-D</t>
        </is>
      </c>
      <c r="C23" s="6" t="inlineStr">
        <is>
          <t>Detalhamento turma a turma de cada cenário de DH (datas, sala, cadência).</t>
        </is>
      </c>
    </row>
    <row r="24" ht="26" customHeight="1">
      <c r="B24" s="11" t="inlineStr">
        <is>
          <t>10_CRONOGRAMA_MESTRE</t>
        </is>
      </c>
      <c r="C24" s="6" t="inlineStr">
        <is>
          <t>Linha do tempo completa de Paulínia no cenário recomendado (PS, DH, OG, CT, EAD, CI, recesso, feriados).</t>
        </is>
      </c>
    </row>
    <row r="25" ht="26" customHeight="1">
      <c r="B25" s="11" t="inlineStr">
        <is>
          <t>11_AGENDA_POR_SALA</t>
        </is>
      </c>
      <c r="C25" s="6" t="inlineStr">
        <is>
          <t>Ocupação de Sala 1/2/3 e locais de curso técnico, sem sobreposição.</t>
        </is>
      </c>
    </row>
    <row r="26" ht="26" customHeight="1">
      <c r="B26" s="11" t="inlineStr">
        <is>
          <t>12_TURMAS_DH</t>
        </is>
      </c>
      <c r="C26" s="6" t="inlineStr">
        <is>
          <t>Detalhamento de PS 01-30 e DH 01-15 (datas, frequência, carga horária, participantes, predecessora).</t>
        </is>
      </c>
    </row>
    <row r="27" ht="26" customHeight="1">
      <c r="B27" s="11" t="inlineStr">
        <is>
          <t>13_OFICINAS_GESTAO</t>
        </is>
      </c>
      <c r="C27" s="6" t="inlineStr">
        <is>
          <t>Detalhamento das turmas de Oficina de Gestão.</t>
        </is>
      </c>
    </row>
    <row r="28" ht="26" customHeight="1">
      <c r="B28" s="11" t="inlineStr">
        <is>
          <t>14_CURSOS_TECNICOS</t>
        </is>
      </c>
      <c r="C28" s="6" t="inlineStr">
        <is>
          <t>Detalhamento das turmas de curso técnico (tema, fornecedor, carga horária, participantes).</t>
        </is>
      </c>
    </row>
    <row r="29" ht="26" customHeight="1">
      <c r="B29" s="11" t="inlineStr">
        <is>
          <t>15_EAD_CONSULTORIAS</t>
        </is>
      </c>
      <c r="C29" s="6" t="inlineStr">
        <is>
          <t>Curso EAD e Consultoria Individual.</t>
        </is>
      </c>
    </row>
    <row r="30" ht="26" customHeight="1">
      <c r="B30" s="11" t="inlineStr">
        <is>
          <t>16_RISCOS_E_DECISOES</t>
        </is>
      </c>
      <c r="C30" s="6" t="inlineStr">
        <is>
          <t>Quadro de riscos, divergências e decisões pendentes, com responsável e status.</t>
        </is>
      </c>
    </row>
    <row r="31" ht="26" customHeight="1">
      <c r="B31" s="11" t="inlineStr">
        <is>
          <t>17_GANTT_EXECUTIVO</t>
        </is>
      </c>
      <c r="C31" s="6" t="inlineStr">
        <is>
          <t>Gantt visual semanal de toda a trilha (cenário recomendado) com feriados e recesso destacados.</t>
        </is>
      </c>
    </row>
    <row r="33">
      <c r="B33" s="3" t="inlineStr">
        <is>
          <t>REGRAS IMPORTANTES DESTE MODELO</t>
        </is>
      </c>
    </row>
    <row r="34" ht="30" customHeight="1">
      <c r="B34" s="12" t="inlineStr">
        <is>
          <t>⚠</t>
        </is>
      </c>
      <c r="C34" s="6" t="inlineStr">
        <is>
          <t>Nenhuma divergência foi corrigida silenciosamente (ex.: 20h x 22h de DH; 10 x 13 turmas de curso técnico).</t>
        </is>
      </c>
    </row>
    <row r="35" ht="30" customHeight="1">
      <c r="B35" s="12" t="inlineStr">
        <is>
          <t>⚠</t>
        </is>
      </c>
      <c r="C35" s="6" t="inlineStr">
        <is>
          <t>Toda data calculada indica, na própria linha, qual premissa foi usada para chegar até ela.</t>
        </is>
      </c>
    </row>
    <row r="36" ht="30" customHeight="1">
      <c r="B36" s="12" t="inlineStr">
        <is>
          <t>⚠</t>
        </is>
      </c>
      <c r="C36" s="6" t="inlineStr">
        <is>
          <t>As datas são datas reais do Excel (não texto) — podem ser usadas em fórmulas, filtros e classificação.</t>
        </is>
      </c>
    </row>
    <row r="37" ht="30" customHeight="1">
      <c r="B37" s="12" t="inlineStr">
        <is>
          <t>⚠</t>
        </is>
      </c>
      <c r="C37" s="6" t="inlineStr">
        <is>
          <t>As abas 05 (comparativo) recalculam automaticamente a partir das abas 06-09 via fórmulas (MIN/MÁXIMO/MENOR).</t>
        </is>
      </c>
    </row>
    <row r="38" ht="30" customHeight="1">
      <c r="B38" s="12" t="inlineStr">
        <is>
          <t>⚠</t>
        </is>
      </c>
      <c r="C38" s="6" t="inlineStr">
        <is>
          <t>As grades turma a turma (06-09, 10, 11, 12-15) são geradas a partir das premissas vigentes no momento da montagem. Se uma premissa estrutural mudar (ex.: nº de salas, frequência do DH), regenere o arquivo para recalcular as grades — o Excel nativo não recalcula sozinho um algoritmo de alocação de salas.</t>
        </is>
      </c>
    </row>
  </sheetData>
  <mergeCells count="8">
    <mergeCell ref="B2:C2"/>
    <mergeCell ref="C35"/>
    <mergeCell ref="C34"/>
    <mergeCell ref="B3:C3"/>
    <mergeCell ref="C38"/>
    <mergeCell ref="B6:C8"/>
    <mergeCell ref="C36"/>
    <mergeCell ref="C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/>
  </sheetPr>
  <dimension ref="B2:E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40" customWidth="1" min="4" max="4"/>
    <col width="22" customWidth="1" min="5" max="5"/>
    <col width="3" customWidth="1" min="6" max="6"/>
  </cols>
  <sheetData>
    <row r="2" ht="28" customHeight="1">
      <c r="B2" s="1" t="inlineStr">
        <is>
          <t>PREMISSAS DO CRONOGRAMA — CÉLULAS AMARELAS SÃO EDITÁVEIS</t>
        </is>
      </c>
    </row>
    <row r="3">
      <c r="B3" s="2" t="inlineStr">
        <is>
          <t>Alterar aqui atualiza automaticamente as datas e indicadores das abas 04 e 05. Grades turma a turma (06-17) exigem regeneração do arquivo.</t>
        </is>
      </c>
    </row>
    <row r="5" ht="22" customHeight="1">
      <c r="B5" s="13" t="inlineStr">
        <is>
          <t>PALESTRAS DE SENSIBILIZAÇÃO (PS)</t>
        </is>
      </c>
    </row>
    <row r="6" ht="30" customHeight="1">
      <c r="B6" s="14" t="inlineStr">
        <is>
          <t>Item</t>
        </is>
      </c>
      <c r="C6" s="14" t="inlineStr">
        <is>
          <t>Valor</t>
        </is>
      </c>
      <c r="D6" s="14" t="inlineStr">
        <is>
          <t>Observação / Classificação</t>
        </is>
      </c>
      <c r="E6" s="14" t="inlineStr">
        <is>
          <t>Status</t>
        </is>
      </c>
    </row>
    <row r="7" ht="28" customHeight="1">
      <c r="B7" s="15" t="inlineStr">
        <is>
          <t>Data de início</t>
        </is>
      </c>
      <c r="C7" s="16" t="n">
        <v>46245</v>
      </c>
      <c r="D7" s="6" t="inlineStr">
        <is>
          <t>Confirmado em 3 fontes (planilha operacional, simulação, cronograma anterior)</t>
        </is>
      </c>
      <c r="E7" s="5" t="inlineStr">
        <is>
          <t>Confirmada</t>
        </is>
      </c>
    </row>
    <row r="8" ht="28" customHeight="1">
      <c r="B8" s="15" t="inlineStr">
        <is>
          <t>Data-alvo de término</t>
        </is>
      </c>
      <c r="C8" s="16" t="n">
        <v>46310</v>
      </c>
      <c r="D8" s="6" t="inlineStr">
        <is>
          <t>Confirmado em 3 fontes</t>
        </is>
      </c>
      <c r="E8" s="5" t="inlineStr">
        <is>
          <t>Confirmada</t>
        </is>
      </c>
    </row>
    <row r="9" ht="28" customHeight="1">
      <c r="B9" s="15" t="inlineStr">
        <is>
          <t>Total de turmas (Paulínia)</t>
        </is>
      </c>
      <c r="C9" s="12" t="n">
        <v>30</v>
      </c>
      <c r="D9" s="6" t="inlineStr">
        <is>
          <t>Base operacional J3=30; PDF macro Núcleo 2 = 30 turmas</t>
        </is>
      </c>
      <c r="E9" s="5" t="inlineStr">
        <is>
          <t>Confirmada</t>
        </is>
      </c>
    </row>
    <row r="10" ht="28" customHeight="1">
      <c r="B10" s="15" t="inlineStr">
        <is>
          <t>Frequência</t>
        </is>
      </c>
      <c r="C10" s="12" t="inlineStr">
        <is>
          <t>3x/semana (Ter/Qua/Qui)</t>
        </is>
      </c>
      <c r="D10" s="6" t="inlineStr">
        <is>
          <t>Cadência dedutível da planilha "Possibilidades"; concilia início e fim informados</t>
        </is>
      </c>
      <c r="E10" s="7" t="inlineStr">
        <is>
          <t>Premissa provisória</t>
        </is>
      </c>
    </row>
    <row r="11" ht="28" customHeight="1">
      <c r="B11" s="15" t="inlineStr">
        <is>
          <t>Carga horária por sessão</t>
        </is>
      </c>
      <c r="C11" s="12" t="inlineStr">
        <is>
          <t>2h</t>
        </is>
      </c>
      <c r="D11" s="6" t="inlineStr">
        <is>
          <t>Planilha operacional E3</t>
        </is>
      </c>
      <c r="E11" s="5" t="inlineStr">
        <is>
          <t>Confirmada</t>
        </is>
      </c>
    </row>
    <row r="13" ht="22" customHeight="1">
      <c r="B13" s="13" t="inlineStr">
        <is>
          <t>DESENVOLVIMENTO HUMANO (DH)</t>
        </is>
      </c>
    </row>
    <row r="14" ht="30" customHeight="1">
      <c r="B14" s="14" t="inlineStr">
        <is>
          <t>Item</t>
        </is>
      </c>
      <c r="C14" s="14" t="inlineStr">
        <is>
          <t>Valor</t>
        </is>
      </c>
      <c r="D14" s="14" t="inlineStr">
        <is>
          <t>Observação / Classificação</t>
        </is>
      </c>
      <c r="E14" s="14" t="inlineStr">
        <is>
          <t>Status</t>
        </is>
      </c>
    </row>
    <row r="15" ht="28" customHeight="1">
      <c r="B15" s="15" t="inlineStr">
        <is>
          <t>Total de turmas (Paulínia)</t>
        </is>
      </c>
      <c r="C15" s="12" t="n">
        <v>15</v>
      </c>
      <c r="D15" s="6" t="inlineStr">
        <is>
          <t>Confirmado: planilha operacional J4, PDF macro Núcleo 2, simulação de cenários</t>
        </is>
      </c>
      <c r="E15" s="5" t="inlineStr">
        <is>
          <t>Confirmada</t>
        </is>
      </c>
    </row>
    <row r="16" ht="28" customHeight="1">
      <c r="B16" s="15" t="inlineStr">
        <is>
          <t>Carga horária total — OPÇÃO USADA NO MODELO</t>
        </is>
      </c>
      <c r="C16" s="12" t="inlineStr">
        <is>
          <t>20h / 10 encontros</t>
        </is>
      </c>
      <c r="D16" s="6" t="inlineStr">
        <is>
          <t>Usada pela simulação de cenários e citada em reunião (Sebrae teria reduzido)</t>
        </is>
      </c>
      <c r="E16" s="7" t="inlineStr">
        <is>
          <t>Premissa provisória</t>
        </is>
      </c>
    </row>
    <row r="17" ht="28" customHeight="1">
      <c r="B17" s="15" t="inlineStr">
        <is>
          <t>Carga horária total — OPÇÃO ALTERNATIVA (documental)</t>
        </is>
      </c>
      <c r="C17" s="17" t="inlineStr">
        <is>
          <t>22h / 11 encontros</t>
        </is>
      </c>
      <c r="D17" s="6" t="inlineStr">
        <is>
          <t>Planilha operacional (F4=22, G4=11) e carga horária citada no PDF macro ("22 horas")</t>
        </is>
      </c>
      <c r="E17" s="8" t="inlineStr">
        <is>
          <t>Divergência entre documentos</t>
        </is>
      </c>
    </row>
    <row r="18" ht="28" customHeight="1">
      <c r="B18" s="15" t="inlineStr">
        <is>
          <t>Mínimo de participantes/turma</t>
        </is>
      </c>
      <c r="C18" s="12" t="n">
        <v>20</v>
      </c>
      <c r="D18" s="6" t="inlineStr">
        <is>
          <t>Planilha operacional H4; PDF usa 20/turma como média de referência</t>
        </is>
      </c>
      <c r="E18" s="5" t="inlineStr">
        <is>
          <t>Confirmada</t>
        </is>
      </c>
    </row>
    <row r="19" ht="28" customHeight="1">
      <c r="B19" s="15" t="inlineStr">
        <is>
          <t>Máximo de participantes/turma</t>
        </is>
      </c>
      <c r="C19" s="12" t="n">
        <v>40</v>
      </c>
      <c r="D19" s="6" t="inlineStr">
        <is>
          <t>Planilha operacional I4</t>
        </is>
      </c>
      <c r="E19" s="5" t="inlineStr">
        <is>
          <t>Confirmada</t>
        </is>
      </c>
    </row>
    <row r="20" ht="28" customHeight="1">
      <c r="B20" s="15" t="inlineStr">
        <is>
          <t>Regra de formação — OPÇÃO A</t>
        </is>
      </c>
      <c r="C20" s="17" t="inlineStr">
        <is>
          <t>2 PS = 1 DH</t>
        </is>
      </c>
      <c r="D20" s="6" t="inlineStr">
        <is>
          <t>Fecha exatamente com 30 PS → 15 DH; é a regra usada nesta simulação</t>
        </is>
      </c>
      <c r="E20" s="7" t="inlineStr">
        <is>
          <t>Premissa provisória</t>
        </is>
      </c>
    </row>
    <row r="21" ht="28" customHeight="1">
      <c r="B21" s="15" t="inlineStr">
        <is>
          <t>Regra de formação — OPÇÃO B (anotação divergente)</t>
        </is>
      </c>
      <c r="C21" s="17" t="inlineStr">
        <is>
          <t>4 OS = 1 DH</t>
        </is>
      </c>
      <c r="D21" s="6" t="inlineStr">
        <is>
          <t>"OS" não existe na trilha; provável erro de digitação de "PS". Mesmo lendo como "4 PS=1DH", o resultado (7-8 turmas) não fecha com as 15 turmas confirmadas</t>
        </is>
      </c>
      <c r="E21" s="8" t="inlineStr">
        <is>
          <t>Divergência entre documentos</t>
        </is>
      </c>
    </row>
    <row r="22" ht="28" customHeight="1">
      <c r="B22" s="15" t="inlineStr">
        <is>
          <t>Frequência semanal a comparar</t>
        </is>
      </c>
      <c r="C22" s="12" t="inlineStr">
        <is>
          <t>2x ou 5x por semana</t>
        </is>
      </c>
      <c r="D22" s="6" t="inlineStr">
        <is>
          <t>Ambas exigidas pelo escopo desta análise (cenários A-D)</t>
        </is>
      </c>
      <c r="E22" s="7" t="inlineStr">
        <is>
          <t>Premissa provisória</t>
        </is>
      </c>
    </row>
    <row r="23" ht="28" customHeight="1">
      <c r="B23" s="15" t="inlineStr">
        <is>
          <t>Nº de salas a comparar</t>
        </is>
      </c>
      <c r="C23" s="12" t="inlineStr">
        <is>
          <t>2 ou 3</t>
        </is>
      </c>
      <c r="D23" s="6" t="inlineStr">
        <is>
          <t>Ambas exigidas pelo escopo desta análise (cenários A-D)</t>
        </is>
      </c>
      <c r="E23" s="7" t="inlineStr">
        <is>
          <t>Premissa provisória</t>
        </is>
      </c>
    </row>
    <row r="24" ht="28" customHeight="1">
      <c r="B24" s="15" t="inlineStr">
        <is>
          <t>Gatilho para 1º curso técnico</t>
        </is>
      </c>
      <c r="C24" s="12" t="inlineStr">
        <is>
          <t>Após a 4ª turma de DH concluída</t>
        </is>
      </c>
      <c r="D24" s="6" t="inlineStr">
        <is>
          <t>Planilha operacional, anotação A34</t>
        </is>
      </c>
      <c r="E24" s="7" t="inlineStr">
        <is>
          <t>Premissa provisória</t>
        </is>
      </c>
    </row>
    <row r="26" ht="22" customHeight="1">
      <c r="B26" s="13" t="inlineStr">
        <is>
          <t>OFICINA DE GESTÃO (OG)</t>
        </is>
      </c>
    </row>
    <row r="27" ht="30" customHeight="1">
      <c r="B27" s="14" t="inlineStr">
        <is>
          <t>Item</t>
        </is>
      </c>
      <c r="C27" s="14" t="inlineStr">
        <is>
          <t>Valor</t>
        </is>
      </c>
      <c r="D27" s="14" t="inlineStr">
        <is>
          <t>Observação / Classificação</t>
        </is>
      </c>
      <c r="E27" s="14" t="inlineStr">
        <is>
          <t>Status</t>
        </is>
      </c>
    </row>
    <row r="28" ht="28" customHeight="1">
      <c r="B28" s="15" t="inlineStr">
        <is>
          <t>Total de turmas — OPÇÃO USADA NO MODELO</t>
        </is>
      </c>
      <c r="C28" s="12" t="n">
        <v>15</v>
      </c>
      <c r="D28" s="6" t="inlineStr">
        <is>
          <t>Planilha operacional J5=15 (1 OG por turma de DH concluída)</t>
        </is>
      </c>
      <c r="E28" s="7" t="inlineStr">
        <is>
          <t>Premissa provisória</t>
        </is>
      </c>
    </row>
    <row r="29" ht="28" customHeight="1">
      <c r="B29" s="15" t="inlineStr">
        <is>
          <t>Total de turmas — LEITURA ALTERNATIVA</t>
        </is>
      </c>
      <c r="C29" s="17" t="inlineStr">
        <is>
          <t>≈7 a 8</t>
        </is>
      </c>
      <c r="D29" s="6" t="inlineStr">
        <is>
          <t>Se a anotação "2 DH = 1 OG + 1 CT" (A28) for aplicada literalmente às 15 turmas de DH</t>
        </is>
      </c>
      <c r="E29" s="8" t="inlineStr">
        <is>
          <t>Divergência entre documentos</t>
        </is>
      </c>
    </row>
    <row r="30" ht="28" customHeight="1">
      <c r="B30" s="15" t="inlineStr">
        <is>
          <t>Carga horária total</t>
        </is>
      </c>
      <c r="C30" s="12" t="inlineStr">
        <is>
          <t>4h</t>
        </is>
      </c>
      <c r="D30" s="6" t="inlineStr">
        <is>
          <t>Planilha operacional F5</t>
        </is>
      </c>
      <c r="E30" s="5" t="inlineStr">
        <is>
          <t>Confirmada</t>
        </is>
      </c>
    </row>
    <row r="31" ht="28" customHeight="1">
      <c r="B31" s="15" t="inlineStr">
        <is>
          <t>Encontros</t>
        </is>
      </c>
      <c r="C31" s="12" t="n">
        <v>2</v>
      </c>
      <c r="D31" s="6" t="inlineStr">
        <is>
          <t>Planilha operacional G5, de 2h cada</t>
        </is>
      </c>
      <c r="E31" s="5" t="inlineStr">
        <is>
          <t>Confirmada</t>
        </is>
      </c>
    </row>
    <row r="32" ht="28" customHeight="1">
      <c r="B32" s="15" t="inlineStr">
        <is>
          <t>Mínimo/máximo de participantes</t>
        </is>
      </c>
      <c r="C32" s="12" t="inlineStr">
        <is>
          <t>15 / 18</t>
        </is>
      </c>
      <c r="D32" s="6" t="inlineStr">
        <is>
          <t>Planilha operacional H5/I5</t>
        </is>
      </c>
      <c r="E32" s="5" t="inlineStr">
        <is>
          <t>Confirmada</t>
        </is>
      </c>
    </row>
    <row r="33" ht="28" customHeight="1">
      <c r="B33" s="15" t="inlineStr">
        <is>
          <t>Espaço para a OG no cenário recomendado (B)</t>
        </is>
      </c>
      <c r="C33" s="17" t="inlineStr">
        <is>
          <t>3 espaços dedicados, distintos das 3 salas de DH</t>
        </is>
      </c>
      <c r="D33" s="6" t="inlineStr">
        <is>
          <t>ACHADO DESTA ANÁLISE: no cenário B (3 salas, DH 5x/semana), as 3 salas de DH ficam 100% ocupadas por lotes consecutivos durante toda a fase — não sobra horário livre na mesma sala para a OG. É preciso um espaço adicional.</t>
        </is>
      </c>
      <c r="E33" s="10" t="inlineStr">
        <is>
          <t>Decisão recomendada</t>
        </is>
      </c>
    </row>
    <row r="35" ht="22" customHeight="1">
      <c r="B35" s="13" t="inlineStr">
        <is>
          <t>CURSOS TÉCNICOS (CT)</t>
        </is>
      </c>
    </row>
    <row r="36" ht="30" customHeight="1">
      <c r="B36" s="14" t="inlineStr">
        <is>
          <t>Item</t>
        </is>
      </c>
      <c r="C36" s="14" t="inlineStr">
        <is>
          <t>Valor</t>
        </is>
      </c>
      <c r="D36" s="14" t="inlineStr">
        <is>
          <t>Observação / Classificação</t>
        </is>
      </c>
      <c r="E36" s="14" t="inlineStr">
        <is>
          <t>Status</t>
        </is>
      </c>
    </row>
    <row r="37" ht="28" customHeight="1">
      <c r="B37" s="15" t="inlineStr">
        <is>
          <t>Total de turmas — OPÇÃO USADA NO MODELO</t>
        </is>
      </c>
      <c r="C37" s="12" t="n">
        <v>10</v>
      </c>
      <c r="D37" s="6" t="inlineStr">
        <is>
          <t>Planilha operacional: soma de J6:J12 (7 temas)</t>
        </is>
      </c>
      <c r="E37" s="7" t="inlineStr">
        <is>
          <t>Premissa provisória</t>
        </is>
      </c>
    </row>
    <row r="38" ht="28" customHeight="1">
      <c r="B38" s="15" t="inlineStr">
        <is>
          <t>Total de turmas — META CONTRATUAL (PDF macro)</t>
        </is>
      </c>
      <c r="C38" s="17" t="n">
        <v>13</v>
      </c>
      <c r="D38" s="6" t="inlineStr">
        <is>
          <t>PDF "Apres. Projeto e Anexos", Núcleo 2 = 13 turmas = 195 pessoas</t>
        </is>
      </c>
      <c r="E38" s="8" t="inlineStr">
        <is>
          <t>Divergência entre documentos</t>
        </is>
      </c>
    </row>
    <row r="39" ht="28" customHeight="1">
      <c r="B39" s="15" t="inlineStr">
        <is>
          <t>Diferença a validar</t>
        </is>
      </c>
      <c r="C39" s="17" t="inlineStr">
        <is>
          <t>3 turmas</t>
        </is>
      </c>
      <c r="D39" s="6" t="inlineStr">
        <is>
          <t>Não foi definido neste material qual(is) tema(s) receberia(m) turma adicional para fechar 13</t>
        </is>
      </c>
      <c r="E39" s="9" t="inlineStr">
        <is>
          <t>Informação pendente de validação</t>
        </is>
      </c>
    </row>
    <row r="40" ht="28" customHeight="1">
      <c r="B40" s="15" t="inlineStr">
        <is>
          <t>Frequência</t>
        </is>
      </c>
      <c r="C40" s="12" t="inlineStr">
        <is>
          <t>5x/semana, 4h/dia</t>
        </is>
      </c>
      <c r="D40" s="6" t="inlineStr">
        <is>
          <t>Planilha operacional (observação) e confirmado no briefing</t>
        </is>
      </c>
      <c r="E40" s="5" t="inlineStr">
        <is>
          <t>Confirmada</t>
        </is>
      </c>
    </row>
    <row r="41" ht="28" customHeight="1">
      <c r="B41" s="15" t="inlineStr">
        <is>
          <t>Turno preferencial</t>
        </is>
      </c>
      <c r="C41" s="12" t="inlineStr">
        <is>
          <t>Noite</t>
        </is>
      </c>
      <c r="D41" s="6" t="inlineStr">
        <is>
          <t>Confirmado na planilha operacional e no briefing</t>
        </is>
      </c>
      <c r="E41" s="5" t="inlineStr">
        <is>
          <t>Confirmada</t>
        </is>
      </c>
    </row>
    <row r="42" ht="28" customHeight="1">
      <c r="B42" s="15" t="inlineStr">
        <is>
          <t>Quórum mínimo por turma</t>
        </is>
      </c>
      <c r="C42" s="17" t="inlineStr">
        <is>
          <t>14 a 18 (varia por curso/fornecedor)</t>
        </is>
      </c>
      <c r="D42" s="6" t="inlineStr">
        <is>
          <t>Planilha operacional H6:H12; reunião cita 16 como referência geral</t>
        </is>
      </c>
      <c r="E42" s="8" t="inlineStr">
        <is>
          <t>Divergência entre documentos</t>
        </is>
      </c>
    </row>
    <row r="44" ht="22" customHeight="1">
      <c r="B44" s="13" t="inlineStr">
        <is>
          <t>EAD E CONSULTORIA INDIVIDUAL</t>
        </is>
      </c>
    </row>
    <row r="45" ht="30" customHeight="1">
      <c r="B45" s="14" t="inlineStr">
        <is>
          <t>Item</t>
        </is>
      </c>
      <c r="C45" s="14" t="inlineStr">
        <is>
          <t>Valor</t>
        </is>
      </c>
      <c r="D45" s="14" t="inlineStr">
        <is>
          <t>Observação / Classificação</t>
        </is>
      </c>
      <c r="E45" s="14" t="inlineStr">
        <is>
          <t>Status</t>
        </is>
      </c>
    </row>
    <row r="46" ht="28" customHeight="1">
      <c r="B46" s="15" t="inlineStr">
        <is>
          <t>EAD — carga horária</t>
        </is>
      </c>
      <c r="C46" s="12" t="inlineStr">
        <is>
          <t>6h / 3 encontros</t>
        </is>
      </c>
      <c r="D46" s="6" t="inlineStr">
        <is>
          <t>Planilha operacional linha 13</t>
        </is>
      </c>
      <c r="E46" s="5" t="inlineStr">
        <is>
          <t>Confirmada</t>
        </is>
      </c>
    </row>
    <row r="47" ht="28" customHeight="1">
      <c r="B47" s="15" t="inlineStr">
        <is>
          <t>Consultoria Individual — atendimentos por pessoa</t>
        </is>
      </c>
      <c r="C47" s="12" t="n">
        <v>3</v>
      </c>
      <c r="D47" s="6" t="inlineStr">
        <is>
          <t>Planilha operacional linha 14 e nota J14</t>
        </is>
      </c>
      <c r="E47" s="5" t="inlineStr">
        <is>
          <t>Confirmada</t>
        </is>
      </c>
    </row>
    <row r="48" ht="28" customHeight="1">
      <c r="B48" s="15" t="inlineStr">
        <is>
          <t>Consultoria Individual — meta de pessoas (Paulínia)</t>
        </is>
      </c>
      <c r="C48" s="12" t="n">
        <v>150</v>
      </c>
      <c r="D48" s="6" t="inlineStr">
        <is>
          <t>Nota J14 (450 atend. / 3) e PDF macro ("13 turmas = 150 pessoas")</t>
        </is>
      </c>
      <c r="E48" s="5" t="inlineStr">
        <is>
          <t>Confirmada</t>
        </is>
      </c>
    </row>
    <row r="49" ht="28" customHeight="1">
      <c r="B49" s="15" t="inlineStr">
        <is>
          <t>Curso Técnico é pré-requisito para Consultoria Individual</t>
        </is>
      </c>
      <c r="C49" s="12" t="inlineStr">
        <is>
          <t>Sim</t>
        </is>
      </c>
      <c r="D49" s="6" t="inlineStr">
        <is>
          <t>PDF macro: "Curso Técnico é pré-requisito"</t>
        </is>
      </c>
      <c r="E49" s="5" t="inlineStr">
        <is>
          <t>Confirmada</t>
        </is>
      </c>
    </row>
    <row r="51" ht="22" customHeight="1">
      <c r="B51" s="13" t="inlineStr">
        <is>
          <t>CALENDÁRIO</t>
        </is>
      </c>
    </row>
    <row r="52" ht="30" customHeight="1">
      <c r="B52" s="14" t="inlineStr">
        <is>
          <t>Item</t>
        </is>
      </c>
      <c r="C52" s="14" t="inlineStr">
        <is>
          <t>Valor</t>
        </is>
      </c>
      <c r="D52" s="14" t="inlineStr">
        <is>
          <t>Observação / Classificação</t>
        </is>
      </c>
      <c r="E52" s="14" t="inlineStr">
        <is>
          <t>Status</t>
        </is>
      </c>
    </row>
    <row r="53" ht="28" customHeight="1">
      <c r="B53" s="15" t="inlineStr">
        <is>
          <t>Feriados considerados</t>
        </is>
      </c>
      <c r="C53" s="17" t="inlineStr">
        <is>
          <t>7/9, 12/10, 2/11, 20/11, 25/12, 1/1</t>
        </is>
      </c>
      <c r="D53" s="6" t="inlineStr">
        <is>
          <t>Calendário municipal de Paulínia 2026 (fonte: paulinia.sp.gov.br/feriados2026)</t>
        </is>
      </c>
      <c r="E53" s="7" t="inlineStr">
        <is>
          <t>Premissa provisória</t>
        </is>
      </c>
    </row>
    <row r="54" ht="28" customHeight="1">
      <c r="B54" s="15" t="inlineStr">
        <is>
          <t>Recesso institucional — início</t>
        </is>
      </c>
      <c r="C54" s="16" t="n">
        <v>46377</v>
      </c>
      <c r="D54" s="6" t="inlineStr">
        <is>
          <t>Observado no cronograma anterior da coordenação; não confirmado formalmente</t>
        </is>
      </c>
      <c r="E54" s="9" t="inlineStr">
        <is>
          <t>Informação pendente de validação</t>
        </is>
      </c>
    </row>
    <row r="55" ht="28" customHeight="1">
      <c r="B55" s="15" t="inlineStr">
        <is>
          <t>Recesso institucional — fim</t>
        </is>
      </c>
      <c r="C55" s="16" t="n">
        <v>46395</v>
      </c>
      <c r="D55" s="6" t="inlineStr">
        <is>
          <t>Idem</t>
        </is>
      </c>
      <c r="E55" s="9" t="inlineStr">
        <is>
          <t>Informação pendente de validação</t>
        </is>
      </c>
    </row>
  </sheetData>
  <mergeCells count="8">
    <mergeCell ref="B26:E26"/>
    <mergeCell ref="B35:E35"/>
    <mergeCell ref="B13:E13"/>
    <mergeCell ref="B44:E44"/>
    <mergeCell ref="B3:E3"/>
    <mergeCell ref="B5:E5"/>
    <mergeCell ref="B2:E2"/>
    <mergeCell ref="B51:E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B2:H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30" customWidth="1" min="4" max="4"/>
    <col width="30" customWidth="1" min="5" max="5"/>
    <col width="24" customWidth="1" min="6" max="6"/>
    <col width="22" customWidth="1" min="7" max="7"/>
    <col width="16" customWidth="1" min="8" max="8"/>
    <col width="3" customWidth="1" min="9" max="9"/>
  </cols>
  <sheetData>
    <row r="2" ht="28" customHeight="1">
      <c r="B2" s="1" t="inlineStr">
        <is>
          <t>DIVERGÊNCIAS ENTRE OS 4 DOCUMENTOS — NADA FOI CORRIGIDO SILENCIOSAMENTE</t>
        </is>
      </c>
    </row>
    <row r="3">
      <c r="B3" s="2" t="inlineStr">
        <is>
          <t>Toda linha aponta os documentos envolvidos, o impacto no cronograma e uma decisão provisória — a validar com Sebrae/Instituto</t>
        </is>
      </c>
    </row>
    <row r="5" ht="30" customHeight="1">
      <c r="B5" s="18" t="inlineStr">
        <is>
          <t>Tema</t>
        </is>
      </c>
      <c r="C5" s="18" t="inlineStr">
        <is>
          <t>Divergência encontrada</t>
        </is>
      </c>
      <c r="D5" s="18" t="inlineStr">
        <is>
          <t>Documentos envolvidos</t>
        </is>
      </c>
      <c r="E5" s="18" t="inlineStr">
        <is>
          <t>Valores em conflito</t>
        </is>
      </c>
      <c r="F5" s="18" t="inlineStr">
        <is>
          <t>Impacto no cronograma</t>
        </is>
      </c>
      <c r="G5" s="18" t="inlineStr">
        <is>
          <t>Decisão recomendada (provisória)</t>
        </is>
      </c>
      <c r="H5" s="18" t="inlineStr">
        <is>
          <t>Classificação</t>
        </is>
      </c>
    </row>
    <row r="6" ht="90" customHeight="1">
      <c r="B6" s="19" t="inlineStr">
        <is>
          <t>Carga horária do DH</t>
        </is>
      </c>
      <c r="C6" s="6" t="inlineStr">
        <is>
          <t>Planilha operacional e PDF contratual indicam 22h/11 encontros; reunião recente relata redução para 20h pelo Sebrae, sem documento formal.</t>
        </is>
      </c>
      <c r="D6" s="6" t="inlineStr">
        <is>
          <t>Proposta (xlsx) + PDF macro  vs.  ata de reunião / Simulação de cenários</t>
        </is>
      </c>
      <c r="E6" s="6" t="inlineStr">
        <is>
          <t>22h / 11 encontros  vs.  20h / 10 encontros</t>
        </is>
      </c>
      <c r="F6" s="6" t="inlineStr">
        <is>
          <t>Muito alto: cada turma de DH muda ±1 semana de duração; em 15 turmas encadeadas, o efeito acumulado desloca o início dos cursos técnicos e o fim da fase DH em várias semanas.</t>
        </is>
      </c>
      <c r="G6" s="6" t="inlineStr">
        <is>
          <t>Usar 20h/10 encontros apenas como premissa de trabalho (é o que consta na simulação mais recente), mas obter confirmação formal por escrito do Sebrae antes de compromissar datas com a Petrobras.</t>
        </is>
      </c>
      <c r="H6" s="8" t="inlineStr">
        <is>
          <t>Divergência entre documentos</t>
        </is>
      </c>
    </row>
    <row r="7" ht="90" customHeight="1">
      <c r="B7" s="19" t="inlineStr">
        <is>
          <t>Quantidade de turmas de Curso Técnico</t>
        </is>
      </c>
      <c r="C7" s="6" t="inlineStr">
        <is>
          <t>O documento macro contratual (Anexos do projeto) indica 13 turmas para o Núcleo 2 (Paulínia); a planilha operacional detalhada soma apenas 10 turmas nos 7 temas listados.</t>
        </is>
      </c>
      <c r="D7" s="6" t="inlineStr">
        <is>
          <t>PDF "Apres. Projeto e Anexos 01.2026"  vs.  Proposta (xlsx)</t>
        </is>
      </c>
      <c r="E7" s="6" t="inlineStr">
        <is>
          <t>13 turmas (meta contratual)  vs.  10 turmas (planilha operacional)</t>
        </is>
      </c>
      <c r="F7" s="6" t="inlineStr">
        <is>
          <t>Muito alto: se 13 for a meta válida, faltam 3 turmas/fornecedores a contratar, o que desloca o fim da fase de cursos técnicos e a meta de 195 participantes.</t>
        </is>
      </c>
      <c r="G7" s="6" t="inlineStr">
        <is>
          <t>Levantar com a coordenação quais 3 turmas adicionais fariam sentido (ex.: 2ª turma de Automação e Jardinagem, ou nova Beleza/Cabelos) e formalizar com os fornecedores antes de assumir 13 como meta.</t>
        </is>
      </c>
      <c r="H7" s="8" t="inlineStr">
        <is>
          <t>Divergência entre documentos</t>
        </is>
      </c>
    </row>
    <row r="8" ht="90" customHeight="1">
      <c r="B8" s="19" t="inlineStr">
        <is>
          <t>Regra de formação do DH a partir das Palestras</t>
        </is>
      </c>
      <c r="C8" s="6" t="inlineStr">
        <is>
          <t>A planilha operacional traz duas anotações conflitantes na mesma aba: "2 PS = 1 DH" (fecha com 15 turmas) e "4 OS = 1 DH" (não fecha; "OS" não corresponde a nenhuma sigla da trilha).</t>
        </is>
      </c>
      <c r="D8" s="6" t="inlineStr">
        <is>
          <t>Proposta (xlsx), observações A27 e A30</t>
        </is>
      </c>
      <c r="E8" s="6" t="inlineStr">
        <is>
          <t>2 PS = 1 DH  vs.  4 OS = 1 DH</t>
        </is>
      </c>
      <c r="F8" s="6" t="inlineStr">
        <is>
          <t>Alto: define o ritmo de liberação de novos lotes de DH; usar a regra errada muda a data de abertura de cada turma.</t>
        </is>
      </c>
      <c r="G8" s="6" t="inlineStr">
        <is>
          <t>Adotar "2 PS = 1 DH" (única leitura que fecha com as 15 turmas confirmadas) e tratar "4 OS = 1 DH" como possível erro de digitação a confirmar com quem escreveu a anotação original.</t>
        </is>
      </c>
      <c r="H8" s="8" t="inlineStr">
        <is>
          <t>Divergência entre documentos</t>
        </is>
      </c>
    </row>
    <row r="9" ht="90" customHeight="1">
      <c r="B9" s="19" t="inlineStr">
        <is>
          <t>Regra de composição da Oficina de Gestão e Curso Técnico</t>
        </is>
      </c>
      <c r="C9" s="6" t="inlineStr">
        <is>
          <t>A planilha operacional lista 15 turmas de OG (1 para cada DH), mas também traz a anotação "2 DH = 1 OG + 1 CT", que implicaria só ~7-8 turmas de OG para 15 DH.</t>
        </is>
      </c>
      <c r="D9" s="6" t="inlineStr">
        <is>
          <t>Proposta (xlsx), linha J5 vs. observação A28</t>
        </is>
      </c>
      <c r="E9" s="6" t="inlineStr">
        <is>
          <t>15 turmas de OG (1:1 com DH)  vs.  ~7-8 turmas de OG (1 a cada 2 DH)</t>
        </is>
      </c>
      <c r="F9" s="6" t="inlineStr">
        <is>
          <t>Muito alto: dobra ou reduz pela metade a necessidade de salas/horários de OG, afetando toda a fase seguinte à DH.</t>
        </is>
      </c>
      <c r="G9" s="6" t="inlineStr">
        <is>
          <t>Confirmar com a coordenação se cada turma de DH forma sua própria OG (15 no total) ou se as turmas de DH são pareadas antes da OG (aprox. 7-8 no total).</t>
        </is>
      </c>
      <c r="H9" s="8" t="inlineStr">
        <is>
          <t>Divergência entre documentos</t>
        </is>
      </c>
    </row>
    <row r="10" ht="90" customHeight="1">
      <c r="B10" s="19" t="inlineStr">
        <is>
          <t>Quórum mínimo dos cursos técnicos</t>
        </is>
      </c>
      <c r="C10" s="6" t="inlineStr">
        <is>
          <t>A planilha operacional traz mínimos de 14 ou 15 participantes por turma, variando por curso; a reunião menciona 16 como referência geral.</t>
        </is>
      </c>
      <c r="D10" s="6" t="inlineStr">
        <is>
          <t>Proposta (xlsx), coluna H  vs.  ata de reunião</t>
        </is>
      </c>
      <c r="E10" s="6" t="inlineStr">
        <is>
          <t>14-15 (planilha, por curso)  vs.  16 (reunião, geral)</t>
        </is>
      </c>
      <c r="F10" s="6" t="inlineStr">
        <is>
          <t>Alto: se 16 for o piso real exigido pelos fornecedores, pode faltar gente inscrita quando 4 turmas de DH (≈80 pessoas) alimentam 2 turmas técnicas.</t>
        </is>
      </c>
      <c r="G10" s="6" t="inlineStr">
        <is>
          <t>Confirmar o mínimo por fornecedor/curso antes de fechar contratos, em vez de aplicar um número único a todos os cursos.</t>
        </is>
      </c>
      <c r="H10" s="8" t="inlineStr">
        <is>
          <t>Divergência entre documentos</t>
        </is>
      </c>
    </row>
    <row r="11" ht="90" customHeight="1">
      <c r="B11" s="19" t="inlineStr">
        <is>
          <t>Disponibilidade de salas para o DH</t>
        </is>
      </c>
      <c r="C11" s="6" t="inlineStr">
        <is>
          <t>O cronograma anterior da coordenação foi desenhado com 3 salas simultâneas; a discussão mais recente também cogita apenas 2 salas.</t>
        </is>
      </c>
      <c r="D11" s="6" t="inlineStr">
        <is>
          <t>"Possibilidades de Cronograma" (título da aba: "3 Salas Simultâneas")  vs.  briefing / Simulação de cenários</t>
        </is>
      </c>
      <c r="E11" s="6" t="inlineStr">
        <is>
          <t>3 salas  vs.  2 salas</t>
        </is>
      </c>
      <c r="F11" s="6" t="inlineStr">
        <is>
          <t>Muito alto: é a variável que mais muda a duração total da fase de DH (73 dias com 3 salas/5x semana vs. 169 dias com 2 salas/2x semana).</t>
        </is>
      </c>
      <c r="G11" s="6" t="inlineStr">
        <is>
          <t>Confirmar com antecedência a disponibilidade real e exclusiva de salas à noite antes de comunicar datas ao Sebrae — ver comparativo de cenários na aba 05.</t>
        </is>
      </c>
      <c r="H11" s="8" t="inlineStr">
        <is>
          <t>Divergência entre documentos</t>
        </is>
      </c>
    </row>
    <row r="12" ht="90" customHeight="1">
      <c r="B12" s="19" t="inlineStr">
        <is>
          <t>Recesso institucional</t>
        </is>
      </c>
      <c r="C12" s="6" t="inlineStr">
        <is>
          <t>A simulação de cenários bloqueia o período de 21/12/2026 a 08/01/2027 como recesso, mas não há confirmação formal de que o Instituto/Sebrae adotarão esse recesso.</t>
        </is>
      </c>
      <c r="D12" s="6" t="inlineStr">
        <is>
          <t>Simulação de cenários (aba "Premissas e Pendências")</t>
        </is>
      </c>
      <c r="E12" s="6" t="inlineStr">
        <is>
          <t>21/12/2026 a 08/01/2027 (assumido)  vs.  nenhuma confirmação</t>
        </is>
      </c>
      <c r="F12" s="6" t="inlineStr">
        <is>
          <t>Médio: cenários que já se estendem para dezembro/janeiro (C e D) ficam ainda mais espremidos ou mais longos conforme o recesso seja confirmado ou não.</t>
        </is>
      </c>
      <c r="G12" s="6" t="inlineStr">
        <is>
          <t>Confirmar a duração exata do recesso institucional 2026/2027 junto à coordenação administrativa.</t>
        </is>
      </c>
      <c r="H12" s="9" t="inlineStr">
        <is>
          <t>Informação pendente de validação</t>
        </is>
      </c>
    </row>
    <row r="13" ht="90" customHeight="1">
      <c r="B13" s="19" t="inlineStr">
        <is>
          <t>Datas com ano incorreto no cronograma anterior</t>
        </is>
      </c>
      <c r="C13" s="6" t="inlineStr">
        <is>
          <t>A aba "Paulínia" do arquivo "Possibilidades de Cronograma" tem uma seção rotulada "Janeiro de 2027" cujas datas de calendário estão grafadas como 2026 (ex.: célula D152 = 04/01/2026), e ao menos uma linha traz data de término anterior à de início (N13 = 05/12/2026 x O13 = 18/11/2026).</t>
        </is>
      </c>
      <c r="D13" s="6" t="inlineStr">
        <is>
          <t>"Possibilidades de Cronograma- Paulínia.xlsx", aba Paulínia</t>
        </is>
      </c>
      <c r="E13" s="6" t="inlineStr">
        <is>
          <t>Rótulo "Janeiro de 2027" com datas grafadas 2026; DHP9 com fim (18/11) anterior ao início (05/12)</t>
        </is>
      </c>
      <c r="F13" s="6" t="inlineStr">
        <is>
          <t>Alto: se usado como referência sem correção, o leitor pode interpretar as datas de janeiro como se fossem no ano errado, ou aceitar uma janela de datas invertida.</t>
        </is>
      </c>
      <c r="G13" s="6" t="inlineStr">
        <is>
          <t>Não usar essa planilha como fonte de datas finais; tratá-la apenas como registro histórico da tentativa anterior (preservada, sem edição, no arquivo original).</t>
        </is>
      </c>
      <c r="H13" s="8" t="inlineStr">
        <is>
          <t>Divergência entre documentos</t>
        </is>
      </c>
    </row>
    <row r="14" ht="90" customHeight="1">
      <c r="B14" s="19" t="inlineStr">
        <is>
          <t>Fornecedor do curso de Jardinagem</t>
        </is>
      </c>
      <c r="C14" s="6" t="inlineStr">
        <is>
          <t>O cronograma anterior da coordenação registra o fornecedor do curso de Jardinagem como "?" — não definido.</t>
        </is>
      </c>
      <c r="D14" s="6" t="inlineStr">
        <is>
          <t>"Possibilidades de Cronograma- Paulínia.xlsx", célula R48</t>
        </is>
      </c>
      <c r="E14" s="6" t="inlineStr">
        <is>
          <t>Fornecedor: "?"</t>
        </is>
      </c>
      <c r="F14" s="6" t="inlineStr">
        <is>
          <t>Alto: sem fornecedor confirmado, a turma de Jardinagem não pode ser efetivamente contratada nem ter data de início garantida.</t>
        </is>
      </c>
      <c r="G14" s="6" t="inlineStr">
        <is>
          <t>Priorizar a definição do fornecedor de Jardinagem antes de comunicar a data desta turma aos participantes.</t>
        </is>
      </c>
      <c r="H14" s="9" t="inlineStr">
        <is>
          <t>Informação pendente de validação</t>
        </is>
      </c>
    </row>
    <row r="15" ht="90" customHeight="1">
      <c r="B15" s="19" t="inlineStr">
        <is>
          <t>Meta de participantes por turma de DH: valor único ou faixa</t>
        </is>
      </c>
      <c r="C15" s="6" t="inlineStr">
        <is>
          <t>O PDF macro usa "20 pessoas por turma" como parâmetro único de cálculo de metas; a planilha operacional define uma faixa de 20 a 40.</t>
        </is>
      </c>
      <c r="D15" s="6" t="inlineStr">
        <is>
          <t>PDF "Apres. Projeto e Anexos"  vs.  Proposta (xlsx), colunas H4/I4</t>
        </is>
      </c>
      <c r="E15" s="6" t="inlineStr">
        <is>
          <t>20 pessoas/turma (fixo, para cálculo de meta)  vs.  20 a 40 (faixa operacional)</t>
        </is>
      </c>
      <c r="F15" s="6" t="inlineStr">
        <is>
          <t>Baixo a médio: não é contraditório em si (20 pode ser a média usada para a meta), mas pode gerar expectativa de turmas menores do que a operação permite.</t>
        </is>
      </c>
      <c r="G15" s="6" t="inlineStr">
        <is>
          <t>Comunicar a meta com a faixa completa (20-40) para não subdimensionar a expectativa de vagas.</t>
        </is>
      </c>
      <c r="H15" s="9" t="inlineStr">
        <is>
          <t>Informação pendente de validação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B2:R2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4" customWidth="1" min="3" max="3"/>
    <col width="20" customWidth="1" min="4" max="4"/>
    <col width="4" customWidth="1" min="5" max="5"/>
    <col width="20" customWidth="1" min="6" max="6"/>
    <col width="4" customWidth="1" min="7" max="7"/>
    <col width="20" customWidth="1" min="8" max="8"/>
    <col width="4" customWidth="1" min="9" max="9"/>
    <col width="20" customWidth="1" min="10" max="10"/>
    <col width="4" customWidth="1" min="11" max="11"/>
    <col width="20" customWidth="1" min="12" max="12"/>
    <col width="3" customWidth="1" min="13" max="13"/>
  </cols>
  <sheetData>
    <row r="2" ht="28" customHeight="1">
      <c r="B2" s="1" t="inlineStr">
        <is>
          <t>FLUXO DA TRILHA — PALESTRA → DH → OFICINA DE GESTÃO → CURSO TÉCNICO → EAD → CONSULTORIA</t>
        </is>
      </c>
    </row>
    <row r="3">
      <c r="B3" s="2" t="inlineStr">
        <is>
          <t>Sequência obrigatória de dependências. Regras quantitativas mostradas como premissa/divergência, nunca como fato quando não confirmadas.</t>
        </is>
      </c>
    </row>
    <row r="5" ht="20" customHeight="1">
      <c r="B5" s="20" t="inlineStr">
        <is>
          <t>PALESTRA DE
SENSIBILIZAÇÃO
(PS)</t>
        </is>
      </c>
      <c r="C5" s="21" t="n"/>
      <c r="E5" s="22" t="inlineStr">
        <is>
          <t>DESENVOLVIMENTO
HUMANO
(DH)</t>
        </is>
      </c>
      <c r="F5" s="23" t="n"/>
      <c r="H5" s="24" t="inlineStr">
        <is>
          <t>OFICINA DE
GESTÃO
(OG)</t>
        </is>
      </c>
      <c r="I5" s="25" t="n"/>
      <c r="K5" s="26" t="inlineStr">
        <is>
          <t>CURSO
TÉCNICO
(CT)</t>
        </is>
      </c>
      <c r="L5" s="27" t="n"/>
      <c r="N5" s="28" t="inlineStr">
        <is>
          <t>CURSO
EAD</t>
        </is>
      </c>
      <c r="O5" s="29" t="n"/>
      <c r="Q5" s="30" t="inlineStr">
        <is>
          <t>CONSULTORIA
INDIVIDUAL
(CI)</t>
        </is>
      </c>
      <c r="R5" s="31" t="n"/>
    </row>
    <row r="6" ht="20" customHeight="1">
      <c r="B6" s="21" t="n"/>
      <c r="C6" s="21" t="n"/>
      <c r="D6" s="32" t="inlineStr">
        <is>
          <t>→</t>
        </is>
      </c>
      <c r="E6" s="23" t="n"/>
      <c r="F6" s="23" t="n"/>
      <c r="G6" s="32" t="inlineStr">
        <is>
          <t>→</t>
        </is>
      </c>
      <c r="H6" s="25" t="n"/>
      <c r="I6" s="25" t="n"/>
      <c r="J6" s="32" t="inlineStr">
        <is>
          <t>→</t>
        </is>
      </c>
      <c r="K6" s="27" t="n"/>
      <c r="L6" s="27" t="n"/>
      <c r="M6" s="32" t="inlineStr">
        <is>
          <t>→</t>
        </is>
      </c>
      <c r="N6" s="29" t="n"/>
      <c r="O6" s="29" t="n"/>
      <c r="P6" s="32" t="inlineStr">
        <is>
          <t>→</t>
        </is>
      </c>
      <c r="Q6" s="31" t="n"/>
      <c r="R6" s="31" t="n"/>
    </row>
    <row r="7" ht="20" customHeight="1">
      <c r="B7" s="21" t="n"/>
      <c r="C7" s="21" t="n"/>
      <c r="E7" s="23" t="n"/>
      <c r="F7" s="23" t="n"/>
      <c r="H7" s="25" t="n"/>
      <c r="I7" s="25" t="n"/>
      <c r="K7" s="27" t="n"/>
      <c r="L7" s="27" t="n"/>
      <c r="N7" s="29" t="n"/>
      <c r="O7" s="29" t="n"/>
      <c r="Q7" s="31" t="n"/>
      <c r="R7" s="31" t="n"/>
    </row>
    <row r="8">
      <c r="B8" s="33" t="inlineStr">
        <is>
          <t>30 turmas</t>
        </is>
      </c>
      <c r="E8" s="33" t="inlineStr">
        <is>
          <t>15 turmas</t>
        </is>
      </c>
      <c r="H8" s="33" t="inlineStr">
        <is>
          <t>15 turmas*</t>
        </is>
      </c>
      <c r="K8" s="33" t="inlineStr">
        <is>
          <t>10 turmas*</t>
        </is>
      </c>
      <c r="N8" s="33" t="inlineStr">
        <is>
          <t>contínuo</t>
        </is>
      </c>
      <c r="Q8" s="33" t="inlineStr">
        <is>
          <t>meta 150 pessoas</t>
        </is>
      </c>
    </row>
    <row r="10">
      <c r="B10" s="34" t="inlineStr">
        <is>
          <t>* Ver divergência quantitativa nas abas 01 e 02 (OG: 15 x ~7-8; CT: 10 x 13).</t>
        </is>
      </c>
    </row>
    <row r="12" ht="26" customHeight="1">
      <c r="B12" s="14" t="inlineStr">
        <is>
          <t>Relação quantitativa citada nos documentos</t>
        </is>
      </c>
      <c r="C12" s="14" t="n"/>
      <c r="D12" s="14" t="n"/>
      <c r="E12" s="14" t="n"/>
      <c r="F12" s="14" t="inlineStr">
        <is>
          <t>Fecha com os totais confirmados (30 PS / 15 DH)?</t>
        </is>
      </c>
      <c r="G12" s="14" t="n"/>
      <c r="H12" s="14" t="n"/>
      <c r="I12" s="14" t="n"/>
      <c r="J12" s="14" t="inlineStr">
        <is>
          <t>Classificação</t>
        </is>
      </c>
      <c r="K12" s="14" t="n"/>
      <c r="L12" s="14" t="n"/>
    </row>
    <row r="13" ht="55" customHeight="1">
      <c r="B13" s="6" t="inlineStr">
        <is>
          <t>30 PS → 15 DH  (regra: 2 PS = 1 DH)</t>
        </is>
      </c>
      <c r="C13" s="35" t="n"/>
      <c r="D13" s="35" t="n"/>
      <c r="E13" s="35" t="n"/>
      <c r="F13" s="6" t="inlineStr">
        <is>
          <t>Sim — 30 ÷ 2 = 15, bate exatamente com o total confirmado.</t>
        </is>
      </c>
      <c r="G13" s="35" t="n"/>
      <c r="H13" s="35" t="n"/>
      <c r="I13" s="35" t="n"/>
      <c r="J13" s="5" t="inlineStr">
        <is>
          <t>Confirmada</t>
        </is>
      </c>
      <c r="K13" s="35" t="n"/>
      <c r="L13" s="35" t="n"/>
    </row>
    <row r="14" ht="55" customHeight="1">
      <c r="B14" s="6" t="inlineStr">
        <is>
          <t>30 PS → 15 DH  (regra: 4 OS = 1 DH)</t>
        </is>
      </c>
      <c r="C14" s="35" t="n"/>
      <c r="D14" s="35" t="n"/>
      <c r="E14" s="35" t="n"/>
      <c r="F14" s="6" t="inlineStr">
        <is>
          <t>Não — 30 ÷ 4 = 7,5, não bate com 15 turmas. Sigla "OS" também não existe na trilha (possível erro de digitação de "PS").</t>
        </is>
      </c>
      <c r="G14" s="35" t="n"/>
      <c r="H14" s="35" t="n"/>
      <c r="I14" s="35" t="n"/>
      <c r="J14" s="8" t="inlineStr">
        <is>
          <t>Divergência entre documentos</t>
        </is>
      </c>
      <c r="K14" s="35" t="n"/>
      <c r="L14" s="35" t="n"/>
    </row>
    <row r="15" ht="55" customHeight="1">
      <c r="B15" s="6" t="inlineStr">
        <is>
          <t>4 DH concluídos → 2 turmas de Curso Técnico (~80 pessoas formando 2 turmas de ~15-18)</t>
        </is>
      </c>
      <c r="C15" s="35" t="n"/>
      <c r="D15" s="35" t="n"/>
      <c r="E15" s="35" t="n"/>
      <c r="F15" s="6" t="inlineStr">
        <is>
          <t>Aritmeticamente aproximado (80 pessoas / 2 turmas = 40 cada, acima do quórum de 14-18 por turma); indica que nem todos os 80 formandos migram para o mesmo curso técnico — a real distribuição depende da escolha individual de curso.</t>
        </is>
      </c>
      <c r="G15" s="35" t="n"/>
      <c r="H15" s="35" t="n"/>
      <c r="I15" s="35" t="n"/>
      <c r="J15" s="7" t="inlineStr">
        <is>
          <t>Premissa provisória</t>
        </is>
      </c>
      <c r="K15" s="35" t="n"/>
      <c r="L15" s="35" t="n"/>
    </row>
    <row r="16" ht="55" customHeight="1">
      <c r="B16" s="6" t="inlineStr">
        <is>
          <t>2 DH = 1 OG + 1 CT</t>
        </is>
      </c>
      <c r="C16" s="35" t="n"/>
      <c r="D16" s="35" t="n"/>
      <c r="E16" s="35" t="n"/>
      <c r="F16" s="6" t="inlineStr">
        <is>
          <t>Não fecha com as 15 turmas de OG citadas na planilha operacional (implicaria ~7-8 OG, não 15).</t>
        </is>
      </c>
      <c r="G16" s="35" t="n"/>
      <c r="H16" s="35" t="n"/>
      <c r="I16" s="35" t="n"/>
      <c r="J16" s="8" t="inlineStr">
        <is>
          <t>Divergência entre documentos</t>
        </is>
      </c>
      <c r="K16" s="35" t="n"/>
      <c r="L16" s="35" t="n"/>
    </row>
    <row r="17" ht="55" customHeight="1">
      <c r="B17" s="6" t="inlineStr">
        <is>
          <t>15 DH → 15 OG (1 para 1)</t>
        </is>
      </c>
      <c r="C17" s="35" t="n"/>
      <c r="D17" s="35" t="n"/>
      <c r="E17" s="35" t="n"/>
      <c r="F17" s="6" t="inlineStr">
        <is>
          <t>Consistente com o total de 15 turmas de OG da planilha operacional, mas contradiz a regra "2 DH = 1 OG + 1 CT" acima.</t>
        </is>
      </c>
      <c r="G17" s="35" t="n"/>
      <c r="H17" s="35" t="n"/>
      <c r="I17" s="35" t="n"/>
      <c r="J17" s="7" t="inlineStr">
        <is>
          <t>Premissa provisória</t>
        </is>
      </c>
      <c r="K17" s="35" t="n"/>
      <c r="L17" s="35" t="n"/>
    </row>
    <row r="19">
      <c r="B19" s="3" t="inlineStr">
        <is>
          <t>LEGENDA DE ETAPAS</t>
        </is>
      </c>
    </row>
    <row r="20">
      <c r="B20" s="36" t="inlineStr"/>
      <c r="C20" s="37" t="inlineStr">
        <is>
          <t>PS - Palestra de Sensibilização</t>
        </is>
      </c>
    </row>
    <row r="21">
      <c r="B21" s="38" t="inlineStr"/>
      <c r="C21" s="37" t="inlineStr">
        <is>
          <t>DH - Desenvolvimento Humano</t>
        </is>
      </c>
    </row>
    <row r="22">
      <c r="B22" s="39" t="inlineStr"/>
      <c r="C22" s="37" t="inlineStr">
        <is>
          <t>OG - Oficina de Gestão</t>
        </is>
      </c>
    </row>
    <row r="23">
      <c r="B23" s="40" t="inlineStr"/>
      <c r="C23" s="37" t="inlineStr">
        <is>
          <t>CT - Curso Técnico</t>
        </is>
      </c>
    </row>
    <row r="24">
      <c r="B24" s="41" t="inlineStr"/>
      <c r="C24" s="37" t="inlineStr">
        <is>
          <t>EAD - Curso Online</t>
        </is>
      </c>
    </row>
    <row r="25">
      <c r="B25" s="42" t="inlineStr"/>
      <c r="C25" s="37" t="inlineStr">
        <is>
          <t>CI - Consultoria Individual</t>
        </is>
      </c>
    </row>
    <row r="26">
      <c r="B26" s="43" t="inlineStr"/>
      <c r="C26" s="37" t="inlineStr">
        <is>
          <t>Recesso / feriado</t>
        </is>
      </c>
    </row>
  </sheetData>
  <mergeCells count="32">
    <mergeCell ref="F13:I13"/>
    <mergeCell ref="H5:I7"/>
    <mergeCell ref="B3:L3"/>
    <mergeCell ref="B15:E15"/>
    <mergeCell ref="E8:F8"/>
    <mergeCell ref="Q8:R8"/>
    <mergeCell ref="F14:I14"/>
    <mergeCell ref="J16:L16"/>
    <mergeCell ref="E5:F7"/>
    <mergeCell ref="K5:L7"/>
    <mergeCell ref="B16:E16"/>
    <mergeCell ref="B2:L2"/>
    <mergeCell ref="Q5:R7"/>
    <mergeCell ref="F16:I16"/>
    <mergeCell ref="J12:L12"/>
    <mergeCell ref="B8:C8"/>
    <mergeCell ref="N8:O8"/>
    <mergeCell ref="N5:O7"/>
    <mergeCell ref="K8:L8"/>
    <mergeCell ref="B12:E12"/>
    <mergeCell ref="F12:I12"/>
    <mergeCell ref="F15:I15"/>
    <mergeCell ref="J17:L17"/>
    <mergeCell ref="B14:E14"/>
    <mergeCell ref="B17:E17"/>
    <mergeCell ref="J14:L14"/>
    <mergeCell ref="F17:I17"/>
    <mergeCell ref="B13:E13"/>
    <mergeCell ref="J13:L13"/>
    <mergeCell ref="B5:C7"/>
    <mergeCell ref="H8:I8"/>
    <mergeCell ref="J15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6B5C"/>
    <outlinePr summaryBelow="1" summaryRight="1"/>
    <pageSetUpPr/>
  </sheetPr>
  <dimension ref="B2:O27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" customWidth="1" min="11" max="11"/>
  </cols>
  <sheetData>
    <row r="2" ht="34" customHeight="1">
      <c r="B2" s="1" t="inlineStr">
        <is>
          <t>PARTIU! APRENDER E EMPREENDER — PAULÍNIA</t>
        </is>
      </c>
    </row>
    <row r="3">
      <c r="B3" s="2" t="inlineStr">
        <is>
          <t>Trilha completa: Palestra de Sensibilização → Desenvolvimento Humano → Oficina de Gestão → Curso Técnico → EAD → Consultoria Individual</t>
        </is>
      </c>
    </row>
    <row r="5" ht="26" customHeight="1">
      <c r="B5" s="44" t="inlineStr">
        <is>
          <t>PERÍODO TOTAL: 11/08/2026 a 06/03/2027  (cenário recomendado)</t>
        </is>
      </c>
    </row>
    <row r="7" ht="34" customHeight="1">
      <c r="B7" s="45" t="inlineStr">
        <is>
          <t>Início das Palestras</t>
        </is>
      </c>
      <c r="C7" s="46" t="inlineStr">
        <is>
          <t>Início do DH</t>
        </is>
      </c>
      <c r="D7" s="46" t="inlineStr">
        <is>
          <t>4ª turma de DH concluída</t>
        </is>
      </c>
      <c r="E7" s="47" t="inlineStr">
        <is>
          <t>1º Curso Técnico possível</t>
        </is>
      </c>
      <c r="F7" s="46" t="inlineStr">
        <is>
          <t>Fim do DH (15 turmas)</t>
        </is>
      </c>
      <c r="G7" s="47" t="inlineStr">
        <is>
          <t>Fim dos Cursos Técnicos</t>
        </is>
      </c>
    </row>
    <row r="8" ht="20" customHeight="1">
      <c r="B8" s="48" t="n">
        <v>46245</v>
      </c>
      <c r="C8" s="48" t="n">
        <v>46258</v>
      </c>
      <c r="D8" s="48" t="n">
        <v>46286</v>
      </c>
      <c r="E8" s="48" t="n">
        <v>46293</v>
      </c>
      <c r="F8" s="48" t="n">
        <v>46330</v>
      </c>
      <c r="G8" s="48" t="n">
        <v>46422</v>
      </c>
    </row>
    <row r="10">
      <c r="B10" s="49" t="inlineStr">
        <is>
          <t>LINHA DO TEMPO — CENÁRIO RECOMENDADO (B: 3 SALAS, DH 5X/SEMANA)</t>
        </is>
      </c>
    </row>
    <row r="11" ht="30" customHeight="1">
      <c r="B11" s="14" t="inlineStr">
        <is>
          <t>Etapa</t>
        </is>
      </c>
      <c r="C11" s="14" t="inlineStr">
        <is>
          <t>AUG/26</t>
        </is>
      </c>
      <c r="D11" s="14" t="inlineStr">
        <is>
          <t>SEP/26</t>
        </is>
      </c>
      <c r="E11" s="14" t="inlineStr">
        <is>
          <t>OCT/26</t>
        </is>
      </c>
      <c r="F11" s="14" t="inlineStr">
        <is>
          <t>NOV/26</t>
        </is>
      </c>
      <c r="G11" s="14" t="inlineStr">
        <is>
          <t>DEC/26</t>
        </is>
      </c>
      <c r="H11" s="14" t="inlineStr">
        <is>
          <t>JAN/27</t>
        </is>
      </c>
      <c r="I11" s="14" t="inlineStr">
        <is>
          <t>FEB/27</t>
        </is>
      </c>
    </row>
    <row r="12" ht="20" customHeight="1">
      <c r="B12" s="15" t="inlineStr">
        <is>
          <t>Palestras de Sensibilização</t>
        </is>
      </c>
      <c r="C12" s="21" t="n"/>
      <c r="D12" s="21" t="n"/>
      <c r="E12" s="21" t="n"/>
      <c r="F12" s="35" t="n"/>
      <c r="G12" s="35" t="n"/>
      <c r="H12" s="35" t="n"/>
      <c r="I12" s="35" t="n"/>
    </row>
    <row r="13" ht="20" customHeight="1">
      <c r="B13" s="15" t="inlineStr">
        <is>
          <t>Desenvolvimento Humano</t>
        </is>
      </c>
      <c r="C13" s="23" t="n"/>
      <c r="D13" s="23" t="n"/>
      <c r="E13" s="23" t="n"/>
      <c r="F13" s="23" t="n"/>
      <c r="G13" s="35" t="n"/>
      <c r="H13" s="35" t="n"/>
      <c r="I13" s="35" t="n"/>
    </row>
    <row r="14" ht="20" customHeight="1">
      <c r="B14" s="15" t="inlineStr">
        <is>
          <t>Oficina de Gestão</t>
        </is>
      </c>
      <c r="C14" s="35" t="n"/>
      <c r="D14" s="25" t="n"/>
      <c r="E14" s="25" t="n"/>
      <c r="F14" s="25" t="n"/>
      <c r="G14" s="35" t="n"/>
      <c r="H14" s="35" t="n"/>
      <c r="I14" s="35" t="n"/>
    </row>
    <row r="15" ht="20" customHeight="1">
      <c r="B15" s="15" t="inlineStr">
        <is>
          <t>Cursos Técnicos</t>
        </is>
      </c>
      <c r="C15" s="35" t="n"/>
      <c r="D15" s="27" t="n"/>
      <c r="E15" s="27" t="n"/>
      <c r="F15" s="27" t="n"/>
      <c r="G15" s="27" t="n"/>
      <c r="H15" s="27" t="n"/>
      <c r="I15" s="27" t="n"/>
    </row>
    <row r="16" ht="20" customHeight="1">
      <c r="B16" s="15" t="inlineStr">
        <is>
          <t>Curso EAD</t>
        </is>
      </c>
      <c r="C16" s="35" t="n"/>
      <c r="D16" s="35" t="n"/>
      <c r="E16" s="29" t="n"/>
      <c r="F16" s="35" t="n"/>
      <c r="G16" s="35" t="n"/>
      <c r="H16" s="35" t="n"/>
      <c r="I16" s="35" t="n"/>
    </row>
    <row r="17" ht="20" customHeight="1">
      <c r="B17" s="15" t="inlineStr">
        <is>
          <t>Consultoria Individual</t>
        </is>
      </c>
      <c r="C17" s="35" t="n"/>
      <c r="D17" s="35" t="n"/>
      <c r="E17" s="31" t="n"/>
      <c r="F17" s="31" t="n"/>
      <c r="G17" s="31" t="n"/>
      <c r="H17" s="31" t="n"/>
      <c r="I17" s="31" t="n"/>
    </row>
    <row r="18" ht="20" customHeight="1">
      <c r="B18" s="15" t="inlineStr">
        <is>
          <t>Recesso / feriados</t>
        </is>
      </c>
      <c r="C18" s="35" t="n"/>
      <c r="D18" s="50" t="n"/>
      <c r="E18" s="50" t="n"/>
      <c r="F18" s="50" t="n"/>
      <c r="G18" s="50" t="n"/>
      <c r="H18" s="50" t="n"/>
      <c r="I18" s="35" t="n"/>
    </row>
    <row r="20" ht="26" customHeight="1">
      <c r="B20" s="51" t="inlineStr">
        <is>
          <t>CENÁRIO RECOMENDADO PARA NEGOCIAÇÃO: 3 SALAS, DH 5X/SEMANA
Conclui o Desenvolvimento Humano em 73 dias (24/08 a 04/11/2026) — o mais rápido entre os 4 cenários avaliados — liberando o maior tempo possível para Oficina de Gestão, Cursos Técnicos, EAD e Consultoria Individual ainda dentro do ano, sem cruzar o recesso institucional. Alternativa de contingência: Cenário D (2 salas, DH 5x/semana).</t>
        </is>
      </c>
    </row>
    <row r="21" ht="26" customHeight="1"/>
    <row r="22" ht="26" customHeight="1"/>
    <row r="24">
      <c r="B24" s="3" t="inlineStr">
        <is>
          <t>LEGENDA</t>
        </is>
      </c>
    </row>
    <row r="25">
      <c r="B25" s="21" t="n"/>
      <c r="C25" s="52" t="inlineStr">
        <is>
          <t>Palestras de Sensibilização</t>
        </is>
      </c>
      <c r="D25" s="23" t="n"/>
      <c r="E25" s="52" t="inlineStr">
        <is>
          <t>Desenvolvimento Humano</t>
        </is>
      </c>
      <c r="F25" s="25" t="n"/>
      <c r="G25" s="52" t="inlineStr">
        <is>
          <t>Oficina de Gestão</t>
        </is>
      </c>
      <c r="H25" s="27" t="n"/>
      <c r="I25" s="52" t="inlineStr">
        <is>
          <t>Cursos Técnicos</t>
        </is>
      </c>
      <c r="J25" s="29" t="n"/>
      <c r="K25" s="52" t="inlineStr">
        <is>
          <t>Curso EAD</t>
        </is>
      </c>
      <c r="L25" s="31" t="n"/>
      <c r="M25" s="52" t="inlineStr">
        <is>
          <t>Consultoria Individual</t>
        </is>
      </c>
      <c r="N25" s="50" t="n"/>
      <c r="O25" s="52" t="inlineStr">
        <is>
          <t>Recesso/feriado</t>
        </is>
      </c>
    </row>
    <row r="27">
      <c r="B27" s="34" t="inlineStr">
        <is>
          <t>Datas construídas a partir de premissas explicitadas nas abas 01, 02 e 03 deste arquivo — sujeitas a confirmação formal do Sebrae/Instituto.</t>
        </is>
      </c>
    </row>
  </sheetData>
  <mergeCells count="13">
    <mergeCell ref="B24:J24"/>
    <mergeCell ref="B3:J3"/>
    <mergeCell ref="B5:J5"/>
    <mergeCell ref="F7"/>
    <mergeCell ref="B10:J10"/>
    <mergeCell ref="C7"/>
    <mergeCell ref="B7"/>
    <mergeCell ref="D7"/>
    <mergeCell ref="E7"/>
    <mergeCell ref="G7"/>
    <mergeCell ref="B27:J27"/>
    <mergeCell ref="B20:J22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395"/>
    <outlinePr summaryBelow="1" summaryRight="1"/>
    <pageSetUpPr/>
  </sheetPr>
  <dimension ref="B2:M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0" customWidth="1" min="3" max="3"/>
    <col width="16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  <col width="34" customWidth="1" min="11" max="11"/>
    <col width="20" customWidth="1" min="12" max="12"/>
    <col width="3" customWidth="1" min="13" max="13"/>
  </cols>
  <sheetData>
    <row r="2" ht="28" customHeight="1">
      <c r="B2" s="1" t="inlineStr">
        <is>
          <t>COMPARATIVO DOS 4 CENÁRIOS DE DESENVOLVIMENTO HUMANO (DH)</t>
        </is>
      </c>
    </row>
    <row r="3">
      <c r="B3" s="2" t="inlineStr">
        <is>
          <t>Salas x Frequência semanal — indicadores recalculados por fórmula a partir das abas 06 a 09</t>
        </is>
      </c>
    </row>
    <row r="5" ht="30" customHeight="1">
      <c r="B5" s="18" t="inlineStr">
        <is>
          <t>Cenário</t>
        </is>
      </c>
      <c r="C5" s="18" t="inlineStr">
        <is>
          <t>Salas</t>
        </is>
      </c>
      <c r="D5" s="18" t="inlineStr">
        <is>
          <t>Frequência
DH</t>
        </is>
      </c>
      <c r="E5" s="18" t="inlineStr">
        <is>
          <t>Capacidade
simultânea</t>
        </is>
      </c>
      <c r="F5" s="18" t="inlineStr">
        <is>
          <t>Início do
DH</t>
        </is>
      </c>
      <c r="G5" s="18" t="inlineStr">
        <is>
          <t>4ª turma
concluída</t>
        </is>
      </c>
      <c r="H5" s="18" t="inlineStr">
        <is>
          <t>15ª turma
concluída</t>
        </is>
      </c>
      <c r="I5" s="18" t="inlineStr">
        <is>
          <t>Duração
fase DH (dias)</t>
        </is>
      </c>
      <c r="J5" s="18" t="inlineStr">
        <is>
          <t>Riscos principais</t>
        </is>
      </c>
      <c r="K5" s="18" t="inlineStr">
        <is>
          <t>Vantagens / Desvantagens</t>
        </is>
      </c>
      <c r="L5" s="18" t="inlineStr">
        <is>
          <t>Viabilidade</t>
        </is>
      </c>
      <c r="M5" s="18" t="inlineStr">
        <is>
          <t>Recomendação</t>
        </is>
      </c>
    </row>
    <row r="6" ht="70" customHeight="1">
      <c r="B6" s="15" t="inlineStr">
        <is>
          <t>Cenário A</t>
        </is>
      </c>
      <c r="C6" s="17" t="n">
        <v>3</v>
      </c>
      <c r="D6" s="17" t="inlineStr">
        <is>
          <t>2x/semana</t>
        </is>
      </c>
      <c r="E6" s="53">
        <f>'06_CENARIO_A'!C27</f>
        <v/>
      </c>
      <c r="F6" s="54">
        <f>'06_CENARIO_A'!C23</f>
        <v/>
      </c>
      <c r="G6" s="54">
        <f>'06_CENARIO_A'!C24</f>
        <v/>
      </c>
      <c r="H6" s="54">
        <f>'06_CENARIO_A'!C25</f>
        <v/>
      </c>
      <c r="I6" s="53">
        <f>'06_CENARIO_A'!C26</f>
        <v/>
      </c>
      <c r="J6" s="6" t="inlineStr">
        <is>
          <t>Sobreposição de turmas exige interleaving de dias (Seg/Qua com Ter/Qui) na mesma sala; termina em dezembro, próximo ao recesso.</t>
        </is>
      </c>
      <c r="K6" s="6" t="inlineStr">
        <is>
          <t>Vantagem: usa a capacidade máxima das 3 salas. Desvantagem: ritmo mais lento (2x/semana) atrasa toda a cadeia OG→CT→EAD→CI.</t>
        </is>
      </c>
      <c r="L6" s="55" t="inlineStr">
        <is>
          <t>Viável</t>
        </is>
      </c>
    </row>
    <row r="7" ht="70" customHeight="1">
      <c r="B7" s="56" t="inlineStr">
        <is>
          <t>Cenário B ★</t>
        </is>
      </c>
      <c r="C7" s="57" t="n">
        <v>3</v>
      </c>
      <c r="D7" s="57" t="inlineStr">
        <is>
          <t>5x/semana</t>
        </is>
      </c>
      <c r="E7" s="58">
        <f>'07_CENARIO_B'!C27</f>
        <v/>
      </c>
      <c r="F7" s="59">
        <f>'07_CENARIO_B'!C23</f>
        <v/>
      </c>
      <c r="G7" s="59">
        <f>'07_CENARIO_B'!C24</f>
        <v/>
      </c>
      <c r="H7" s="59">
        <f>'07_CENARIO_B'!C25</f>
        <v/>
      </c>
      <c r="I7" s="58">
        <f>'07_CENARIO_B'!C26</f>
        <v/>
      </c>
      <c r="J7" s="60" t="inlineStr">
        <is>
          <t>Ritmo intenso (5x/semana) exige disponibilidade constante de facilitadores e das 3 salas em sequência apertada entre lotes.</t>
        </is>
      </c>
      <c r="K7" s="60" t="inlineStr">
        <is>
          <t>Vantagem: conclui a fase DH mais cedo (04/11), maximizando o tempo disponível para OG, CT, EAD e CI antes do fim do ano. Desvantagem: menor margem de faltas/reposição por turma (10 dias úteis corridos).</t>
        </is>
      </c>
      <c r="L7" s="61" t="inlineStr">
        <is>
          <t>Altamente viável</t>
        </is>
      </c>
    </row>
    <row r="8" ht="70" customHeight="1">
      <c r="B8" s="15" t="inlineStr">
        <is>
          <t>Cenário C</t>
        </is>
      </c>
      <c r="C8" s="17" t="n">
        <v>2</v>
      </c>
      <c r="D8" s="17" t="inlineStr">
        <is>
          <t>2x/semana</t>
        </is>
      </c>
      <c r="E8" s="53">
        <f>'08_CENARIO_C'!C27</f>
        <v/>
      </c>
      <c r="F8" s="54">
        <f>'08_CENARIO_C'!C23</f>
        <v/>
      </c>
      <c r="G8" s="54">
        <f>'08_CENARIO_C'!C24</f>
        <v/>
      </c>
      <c r="H8" s="54">
        <f>'08_CENARIO_C'!C25</f>
        <v/>
      </c>
      <c r="I8" s="53">
        <f>'08_CENARIO_C'!C26</f>
        <v/>
      </c>
      <c r="J8" s="6" t="inlineStr">
        <is>
          <t>Fase DH ultrapassa o recesso institucional e só termina em fevereiro/2027 — compromete seriamente o início dos cursos técnicos e a meta anual.</t>
        </is>
      </c>
      <c r="K8" s="6" t="inlineStr">
        <is>
          <t>Vantagem: nenhuma relevante frente aos demais cenários. Desvantagem: menor capacidade simultânea (4) e maior duração total (169 dias).</t>
        </is>
      </c>
      <c r="L8" s="62" t="inlineStr">
        <is>
          <t>Não recomendado</t>
        </is>
      </c>
    </row>
    <row r="9" ht="70" customHeight="1">
      <c r="B9" s="15" t="inlineStr">
        <is>
          <t>Cenário D</t>
        </is>
      </c>
      <c r="C9" s="17" t="n">
        <v>2</v>
      </c>
      <c r="D9" s="17" t="inlineStr">
        <is>
          <t>5x/semana</t>
        </is>
      </c>
      <c r="E9" s="53">
        <f>'09_CENARIO_D'!C27</f>
        <v/>
      </c>
      <c r="F9" s="54">
        <f>'09_CENARIO_D'!C23</f>
        <v/>
      </c>
      <c r="G9" s="54">
        <f>'09_CENARIO_D'!C24</f>
        <v/>
      </c>
      <c r="H9" s="54">
        <f>'09_CENARIO_D'!C25</f>
        <v/>
      </c>
      <c r="I9" s="53">
        <f>'09_CENARIO_D'!C26</f>
        <v/>
      </c>
      <c r="J9" s="6" t="inlineStr">
        <is>
          <t>Alta intensidade diária (5x/semana) combinada a apenas 2 salas deixa pouquíssima folga para reposição de encontros perdidos.</t>
        </is>
      </c>
      <c r="K9" s="6" t="inlineStr">
        <is>
          <t>Vantagem: mais rápido que os cenários de 2x/semana. Desvantagem: capacidade simultânea mínima (2) entre os 4 cenários.</t>
        </is>
      </c>
      <c r="L9" s="55" t="inlineStr">
        <is>
          <t>Viável com ressalvas</t>
        </is>
      </c>
    </row>
    <row r="11" ht="70" customHeight="1">
      <c r="B11" s="63" t="inlineStr">
        <is>
          <t>RECOMENDAÇÃO: Cenário B (3 salas, DH 5x/semana) — conclui a fase de Desenvolvimento Humano em 04/11/2026, liberando o maior tempo possível para Oficina de Gestão, Cursos Técnicos, EAD e Consultoria Individual ainda dentro do ano civil, antes do recesso institucional. Justificativa: menor duração total da fase (73 dias), maior antecedência da 4ª turma concluída (21/09, a mais cedo entre os 4 cenários) e nenhuma sobreposição com o recesso. Ressalva: exige confirmação de disponibilidade das 3 salas e de facilitadores em ritmo diário.</t>
        </is>
      </c>
    </row>
  </sheetData>
  <mergeCells count="3">
    <mergeCell ref="B2:L2"/>
    <mergeCell ref="B11:L11"/>
    <mergeCell ref="B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DC3E6"/>
    <outlinePr summaryBelow="1" summaryRight="1"/>
    <pageSetUpPr/>
  </sheetPr>
  <dimension ref="B2:J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34" customWidth="1" min="9" max="9"/>
    <col width="3" customWidth="1" min="10" max="10"/>
  </cols>
  <sheetData>
    <row r="2" ht="28" customHeight="1">
      <c r="B2" s="1" t="inlineStr">
        <is>
          <t xml:space="preserve">CENÁRIO A — 3 SALAS | DH 2x/semana  </t>
        </is>
      </c>
    </row>
    <row r="3">
      <c r="B3" s="2" t="inlineStr">
        <is>
          <t>Viavel, mas com maior sobreposicao e termino em dezembro.  |  Indicação: Alternativa equilibrada</t>
        </is>
      </c>
    </row>
    <row r="5" ht="30" customHeight="1">
      <c r="B5" s="18" t="inlineStr">
        <is>
          <t>Turma DH</t>
        </is>
      </c>
      <c r="C5" s="18" t="inlineStr">
        <is>
          <t>Lote</t>
        </is>
      </c>
      <c r="D5" s="18" t="inlineStr">
        <is>
          <t>Sala</t>
        </is>
      </c>
      <c r="E5" s="18" t="inlineStr">
        <is>
          <t>Cadência</t>
        </is>
      </c>
      <c r="F5" s="18" t="inlineStr">
        <is>
          <t>Início</t>
        </is>
      </c>
      <c r="G5" s="18" t="inlineStr">
        <is>
          <t>Término</t>
        </is>
      </c>
      <c r="H5" s="18" t="inlineStr">
        <is>
          <t>Encontros</t>
        </is>
      </c>
      <c r="I5" s="18" t="inlineStr">
        <is>
          <t>Nº aprox. de
participantes</t>
        </is>
      </c>
      <c r="J5" s="18" t="inlineStr">
        <is>
          <t>Observação</t>
        </is>
      </c>
    </row>
    <row r="6" ht="22" customHeight="1">
      <c r="B6" s="64" t="inlineStr">
        <is>
          <t>DH 1</t>
        </is>
      </c>
      <c r="C6" s="65" t="n">
        <v>1</v>
      </c>
      <c r="D6" s="65" t="inlineStr">
        <is>
          <t>Sala 1</t>
        </is>
      </c>
      <c r="E6" s="65" t="inlineStr">
        <is>
          <t>Ter/Qui</t>
        </is>
      </c>
      <c r="F6" s="66" t="n">
        <v>46259</v>
      </c>
      <c r="G6" s="66" t="n">
        <v>46289</v>
      </c>
      <c r="H6" s="65" t="n">
        <v>10</v>
      </c>
      <c r="I6" s="67" t="inlineStr">
        <is>
          <t>Período inclui feriado(s): 07/09</t>
        </is>
      </c>
    </row>
    <row r="7" ht="22" customHeight="1">
      <c r="B7" s="64" t="inlineStr">
        <is>
          <t>DH 2</t>
        </is>
      </c>
      <c r="C7" s="65" t="n">
        <v>1</v>
      </c>
      <c r="D7" s="65" t="inlineStr">
        <is>
          <t>Sala 2</t>
        </is>
      </c>
      <c r="E7" s="65" t="inlineStr">
        <is>
          <t>Ter/Qui</t>
        </is>
      </c>
      <c r="F7" s="66" t="n">
        <v>46259</v>
      </c>
      <c r="G7" s="66" t="n">
        <v>46289</v>
      </c>
      <c r="H7" s="65" t="n">
        <v>10</v>
      </c>
      <c r="I7" s="67" t="inlineStr">
        <is>
          <t>Período inclui feriado(s): 07/09</t>
        </is>
      </c>
    </row>
    <row r="8" ht="22" customHeight="1">
      <c r="B8" s="64" t="inlineStr">
        <is>
          <t>DH 3</t>
        </is>
      </c>
      <c r="C8" s="65" t="n">
        <v>1</v>
      </c>
      <c r="D8" s="65" t="inlineStr">
        <is>
          <t>Sala 3</t>
        </is>
      </c>
      <c r="E8" s="65" t="inlineStr">
        <is>
          <t>Ter/Qui</t>
        </is>
      </c>
      <c r="F8" s="66" t="n">
        <v>46259</v>
      </c>
      <c r="G8" s="66" t="n">
        <v>46289</v>
      </c>
      <c r="H8" s="65" t="n">
        <v>10</v>
      </c>
      <c r="I8" s="67" t="inlineStr">
        <is>
          <t>Período inclui feriado(s): 07/09</t>
        </is>
      </c>
    </row>
    <row r="9" ht="22" customHeight="1">
      <c r="B9" s="64" t="inlineStr">
        <is>
          <t>DH 4</t>
        </is>
      </c>
      <c r="C9" s="65" t="n">
        <v>2</v>
      </c>
      <c r="D9" s="65" t="inlineStr">
        <is>
          <t>Sala 1</t>
        </is>
      </c>
      <c r="E9" s="65" t="inlineStr">
        <is>
          <t>Seg/Qua</t>
        </is>
      </c>
      <c r="F9" s="66" t="n">
        <v>46274</v>
      </c>
      <c r="G9" s="66" t="n">
        <v>46309</v>
      </c>
      <c r="H9" s="65" t="n">
        <v>10</v>
      </c>
      <c r="I9" s="67" t="inlineStr">
        <is>
          <t>Período inclui feriado(s): 12/10</t>
        </is>
      </c>
    </row>
    <row r="10" ht="22" customHeight="1">
      <c r="B10" s="64" t="inlineStr">
        <is>
          <t>DH 5</t>
        </is>
      </c>
      <c r="C10" s="65" t="n">
        <v>2</v>
      </c>
      <c r="D10" s="65" t="inlineStr">
        <is>
          <t>Sala 2</t>
        </is>
      </c>
      <c r="E10" s="65" t="inlineStr">
        <is>
          <t>Seg/Qua</t>
        </is>
      </c>
      <c r="F10" s="66" t="n">
        <v>46274</v>
      </c>
      <c r="G10" s="66" t="n">
        <v>46309</v>
      </c>
      <c r="H10" s="65" t="n">
        <v>10</v>
      </c>
      <c r="I10" s="67" t="inlineStr">
        <is>
          <t>Período inclui feriado(s): 12/10</t>
        </is>
      </c>
    </row>
    <row r="11" ht="22" customHeight="1">
      <c r="B11" s="64" t="inlineStr">
        <is>
          <t>DH 6</t>
        </is>
      </c>
      <c r="C11" s="65" t="n">
        <v>2</v>
      </c>
      <c r="D11" s="65" t="inlineStr">
        <is>
          <t>Sala 3</t>
        </is>
      </c>
      <c r="E11" s="65" t="inlineStr">
        <is>
          <t>Seg/Qua</t>
        </is>
      </c>
      <c r="F11" s="66" t="n">
        <v>46274</v>
      </c>
      <c r="G11" s="66" t="n">
        <v>46309</v>
      </c>
      <c r="H11" s="65" t="n">
        <v>10</v>
      </c>
      <c r="I11" s="67" t="inlineStr">
        <is>
          <t>Período inclui feriado(s): 12/10</t>
        </is>
      </c>
    </row>
    <row r="12" ht="22" customHeight="1">
      <c r="B12" s="64" t="inlineStr">
        <is>
          <t>DH 7</t>
        </is>
      </c>
      <c r="C12" s="65" t="n">
        <v>3</v>
      </c>
      <c r="D12" s="65" t="inlineStr">
        <is>
          <t>Sala 1</t>
        </is>
      </c>
      <c r="E12" s="65" t="inlineStr">
        <is>
          <t>Ter/Qui</t>
        </is>
      </c>
      <c r="F12" s="66" t="n">
        <v>46294</v>
      </c>
      <c r="G12" s="66" t="n">
        <v>46324</v>
      </c>
      <c r="H12" s="65" t="n">
        <v>10</v>
      </c>
      <c r="I12" s="67" t="inlineStr">
        <is>
          <t>Período inclui feriado(s): 12/10</t>
        </is>
      </c>
    </row>
    <row r="13" ht="22" customHeight="1">
      <c r="B13" s="64" t="inlineStr">
        <is>
          <t>DH 8</t>
        </is>
      </c>
      <c r="C13" s="65" t="n">
        <v>3</v>
      </c>
      <c r="D13" s="65" t="inlineStr">
        <is>
          <t>Sala 2</t>
        </is>
      </c>
      <c r="E13" s="65" t="inlineStr">
        <is>
          <t>Ter/Qui</t>
        </is>
      </c>
      <c r="F13" s="66" t="n">
        <v>46294</v>
      </c>
      <c r="G13" s="66" t="n">
        <v>46324</v>
      </c>
      <c r="H13" s="65" t="n">
        <v>10</v>
      </c>
      <c r="I13" s="67" t="inlineStr">
        <is>
          <t>Período inclui feriado(s): 12/10</t>
        </is>
      </c>
    </row>
    <row r="14" ht="22" customHeight="1">
      <c r="B14" s="64" t="inlineStr">
        <is>
          <t>DH 9</t>
        </is>
      </c>
      <c r="C14" s="65" t="n">
        <v>3</v>
      </c>
      <c r="D14" s="65" t="inlineStr">
        <is>
          <t>Sala 3</t>
        </is>
      </c>
      <c r="E14" s="65" t="inlineStr">
        <is>
          <t>Ter/Qui</t>
        </is>
      </c>
      <c r="F14" s="66" t="n">
        <v>46294</v>
      </c>
      <c r="G14" s="66" t="n">
        <v>46324</v>
      </c>
      <c r="H14" s="65" t="n">
        <v>10</v>
      </c>
      <c r="I14" s="67" t="inlineStr">
        <is>
          <t>Período inclui feriado(s): 12/10</t>
        </is>
      </c>
    </row>
    <row r="15" ht="22" customHeight="1">
      <c r="B15" s="64" t="inlineStr">
        <is>
          <t>DH 10</t>
        </is>
      </c>
      <c r="C15" s="65" t="n">
        <v>4</v>
      </c>
      <c r="D15" s="65" t="inlineStr">
        <is>
          <t>Sala 1</t>
        </is>
      </c>
      <c r="E15" s="65" t="inlineStr">
        <is>
          <t>Seg/Qua</t>
        </is>
      </c>
      <c r="F15" s="66" t="n">
        <v>46314</v>
      </c>
      <c r="G15" s="66" t="n">
        <v>46349</v>
      </c>
      <c r="H15" s="65" t="n">
        <v>10</v>
      </c>
      <c r="I15" s="67" t="inlineStr">
        <is>
          <t>Período inclui feriado(s): 02/11, 20/11</t>
        </is>
      </c>
    </row>
    <row r="16" ht="22" customHeight="1">
      <c r="B16" s="64" t="inlineStr">
        <is>
          <t>DH 11</t>
        </is>
      </c>
      <c r="C16" s="65" t="n">
        <v>4</v>
      </c>
      <c r="D16" s="65" t="inlineStr">
        <is>
          <t>Sala 2</t>
        </is>
      </c>
      <c r="E16" s="65" t="inlineStr">
        <is>
          <t>Seg/Qua</t>
        </is>
      </c>
      <c r="F16" s="66" t="n">
        <v>46314</v>
      </c>
      <c r="G16" s="66" t="n">
        <v>46349</v>
      </c>
      <c r="H16" s="65" t="n">
        <v>10</v>
      </c>
      <c r="I16" s="67" t="inlineStr">
        <is>
          <t>Período inclui feriado(s): 02/11, 20/11</t>
        </is>
      </c>
    </row>
    <row r="17" ht="22" customHeight="1">
      <c r="B17" s="64" t="inlineStr">
        <is>
          <t>DH 12</t>
        </is>
      </c>
      <c r="C17" s="65" t="n">
        <v>4</v>
      </c>
      <c r="D17" s="65" t="inlineStr">
        <is>
          <t>Sala 3</t>
        </is>
      </c>
      <c r="E17" s="65" t="inlineStr">
        <is>
          <t>Seg/Qua</t>
        </is>
      </c>
      <c r="F17" s="66" t="n">
        <v>46314</v>
      </c>
      <c r="G17" s="66" t="n">
        <v>46349</v>
      </c>
      <c r="H17" s="65" t="n">
        <v>10</v>
      </c>
      <c r="I17" s="67" t="inlineStr">
        <is>
          <t>Período inclui feriado(s): 02/11, 20/11</t>
        </is>
      </c>
    </row>
    <row r="18" ht="22" customHeight="1">
      <c r="B18" s="64" t="inlineStr">
        <is>
          <t>DH 13</t>
        </is>
      </c>
      <c r="C18" s="65" t="n">
        <v>5</v>
      </c>
      <c r="D18" s="65" t="inlineStr">
        <is>
          <t>Sala 1</t>
        </is>
      </c>
      <c r="E18" s="65" t="inlineStr">
        <is>
          <t>Ter/Qui</t>
        </is>
      </c>
      <c r="F18" s="66" t="n">
        <v>46329</v>
      </c>
      <c r="G18" s="66" t="n">
        <v>46359</v>
      </c>
      <c r="H18" s="65" t="n">
        <v>10</v>
      </c>
      <c r="I18" s="67" t="inlineStr">
        <is>
          <t>Período inclui feriado(s): 20/11</t>
        </is>
      </c>
    </row>
    <row r="19" ht="22" customHeight="1">
      <c r="B19" s="64" t="inlineStr">
        <is>
          <t>DH 14</t>
        </is>
      </c>
      <c r="C19" s="65" t="n">
        <v>5</v>
      </c>
      <c r="D19" s="65" t="inlineStr">
        <is>
          <t>Sala 2</t>
        </is>
      </c>
      <c r="E19" s="65" t="inlineStr">
        <is>
          <t>Ter/Qui</t>
        </is>
      </c>
      <c r="F19" s="66" t="n">
        <v>46329</v>
      </c>
      <c r="G19" s="66" t="n">
        <v>46359</v>
      </c>
      <c r="H19" s="65" t="n">
        <v>10</v>
      </c>
      <c r="I19" s="67" t="inlineStr">
        <is>
          <t>Período inclui feriado(s): 20/11</t>
        </is>
      </c>
    </row>
    <row r="20" ht="22" customHeight="1">
      <c r="B20" s="64" t="inlineStr">
        <is>
          <t>DH 15</t>
        </is>
      </c>
      <c r="C20" s="65" t="n">
        <v>5</v>
      </c>
      <c r="D20" s="65" t="inlineStr">
        <is>
          <t>Sala 3</t>
        </is>
      </c>
      <c r="E20" s="65" t="inlineStr">
        <is>
          <t>Ter/Qui</t>
        </is>
      </c>
      <c r="F20" s="66" t="n">
        <v>46329</v>
      </c>
      <c r="G20" s="66" t="n">
        <v>46359</v>
      </c>
      <c r="H20" s="65" t="n">
        <v>10</v>
      </c>
      <c r="I20" s="67" t="inlineStr">
        <is>
          <t>Período inclui feriado(s): 20/11</t>
        </is>
      </c>
    </row>
    <row r="22" ht="30" customHeight="1">
      <c r="B22" s="14" t="inlineStr">
        <is>
          <t>Indicador</t>
        </is>
      </c>
      <c r="C22" s="14" t="inlineStr">
        <is>
          <t>Resultado</t>
        </is>
      </c>
      <c r="D22" s="14" t="inlineStr">
        <is>
          <t>Leitura</t>
        </is>
      </c>
      <c r="E22" s="68" t="n"/>
      <c r="F22" s="68" t="n"/>
      <c r="G22" s="68" t="n"/>
      <c r="H22" s="68" t="n"/>
      <c r="I22" s="69" t="n"/>
    </row>
    <row r="23" ht="24" customHeight="1">
      <c r="B23" s="15" t="inlineStr">
        <is>
          <t>Início da 1ª turma</t>
        </is>
      </c>
      <c r="C23" s="70">
        <f>MIN(F6:F20)</f>
        <v/>
      </c>
      <c r="D23" s="6" t="inlineStr">
        <is>
          <t>Marco de início da fase de Desenvolvimento Humano</t>
        </is>
      </c>
    </row>
    <row r="24" ht="24" customHeight="1">
      <c r="B24" s="15" t="inlineStr">
        <is>
          <t>Conclusão da 4ª turma</t>
        </is>
      </c>
      <c r="C24" s="70">
        <f>SMALL(G6:G20,4)</f>
        <v/>
      </c>
      <c r="D24" s="6" t="inlineStr">
        <is>
          <t>Marco para liberar o primeiro lote de Curso Técnico (premissa: após 4 DH)</t>
        </is>
      </c>
    </row>
    <row r="25" ht="24" customHeight="1">
      <c r="B25" s="15" t="inlineStr">
        <is>
          <t>Conclusão da 15ª turma (todas)</t>
        </is>
      </c>
      <c r="C25" s="70">
        <f>MAX(G6:G20)</f>
        <v/>
      </c>
      <c r="D25" s="6" t="inlineStr">
        <is>
          <t>Fim estimado da fase de Desenvolvimento Humano</t>
        </is>
      </c>
    </row>
    <row r="26" ht="24" customHeight="1">
      <c r="B26" s="15" t="inlineStr">
        <is>
          <t>Duração da fase DH (dias corridos)</t>
        </is>
      </c>
      <c r="C26" s="71">
        <f>C25-C23+1</f>
        <v/>
      </c>
      <c r="D26" s="6" t="inlineStr">
        <is>
          <t>Da 1ª turma iniciada até a 15ª concluída</t>
        </is>
      </c>
    </row>
    <row r="27" ht="24" customHeight="1">
      <c r="B27" s="15" t="inlineStr">
        <is>
          <t>Capacidade simultânea máxima (turmas)</t>
        </is>
      </c>
      <c r="C27" s="71" t="n">
        <v>6</v>
      </c>
      <c r="D27" s="6" t="inlineStr">
        <is>
          <t>3 sala(s) × interleaving por dia da semana (2 cadências/sala se 2x/semana)</t>
        </is>
      </c>
    </row>
  </sheetData>
  <mergeCells count="8">
    <mergeCell ref="D24:I24"/>
    <mergeCell ref="D27:I27"/>
    <mergeCell ref="D22:I22"/>
    <mergeCell ref="D23:I23"/>
    <mergeCell ref="B2:I2"/>
    <mergeCell ref="B3:I3"/>
    <mergeCell ref="D26:I26"/>
    <mergeCell ref="D25:I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/>
  </sheetPr>
  <dimension ref="B2:J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34" customWidth="1" min="9" max="9"/>
    <col width="3" customWidth="1" min="10" max="10"/>
  </cols>
  <sheetData>
    <row r="2" ht="28" customHeight="1">
      <c r="B2" s="1" t="inlineStr">
        <is>
          <t>CENÁRIO B — 3 SALAS | DH 5x/semana  ★ CENÁRIO RECOMENDADO</t>
        </is>
      </c>
    </row>
    <row r="3">
      <c r="B3" s="2" t="inlineStr">
        <is>
          <t>Maior velocidade; acompanha melhor a formacao das turmas.  |  Indicação: Recomendado para negociacao</t>
        </is>
      </c>
    </row>
    <row r="5" ht="30" customHeight="1">
      <c r="B5" s="18" t="inlineStr">
        <is>
          <t>Turma DH</t>
        </is>
      </c>
      <c r="C5" s="18" t="inlineStr">
        <is>
          <t>Lote</t>
        </is>
      </c>
      <c r="D5" s="18" t="inlineStr">
        <is>
          <t>Sala</t>
        </is>
      </c>
      <c r="E5" s="18" t="inlineStr">
        <is>
          <t>Cadência</t>
        </is>
      </c>
      <c r="F5" s="18" t="inlineStr">
        <is>
          <t>Início</t>
        </is>
      </c>
      <c r="G5" s="18" t="inlineStr">
        <is>
          <t>Término</t>
        </is>
      </c>
      <c r="H5" s="18" t="inlineStr">
        <is>
          <t>Encontros</t>
        </is>
      </c>
      <c r="I5" s="18" t="inlineStr">
        <is>
          <t>Nº aprox. de
participantes</t>
        </is>
      </c>
      <c r="J5" s="18" t="inlineStr">
        <is>
          <t>Observação</t>
        </is>
      </c>
    </row>
    <row r="6" ht="22" customHeight="1">
      <c r="B6" s="15" t="inlineStr">
        <is>
          <t>DH 1</t>
        </is>
      </c>
      <c r="C6" s="17" t="n">
        <v>1</v>
      </c>
      <c r="D6" s="17" t="inlineStr">
        <is>
          <t>Sala 1</t>
        </is>
      </c>
      <c r="E6" s="17" t="inlineStr">
        <is>
          <t>Seg-Sex</t>
        </is>
      </c>
      <c r="F6" s="72" t="n">
        <v>46258</v>
      </c>
      <c r="G6" s="72" t="n">
        <v>46269</v>
      </c>
      <c r="H6" s="17" t="n">
        <v>10</v>
      </c>
      <c r="I6" s="73" t="inlineStr">
        <is>
          <t>—</t>
        </is>
      </c>
    </row>
    <row r="7" ht="22" customHeight="1">
      <c r="B7" s="15" t="inlineStr">
        <is>
          <t>DH 2</t>
        </is>
      </c>
      <c r="C7" s="17" t="n">
        <v>1</v>
      </c>
      <c r="D7" s="17" t="inlineStr">
        <is>
          <t>Sala 2</t>
        </is>
      </c>
      <c r="E7" s="17" t="inlineStr">
        <is>
          <t>Seg-Sex</t>
        </is>
      </c>
      <c r="F7" s="72" t="n">
        <v>46258</v>
      </c>
      <c r="G7" s="72" t="n">
        <v>46269</v>
      </c>
      <c r="H7" s="17" t="n">
        <v>10</v>
      </c>
      <c r="I7" s="73" t="inlineStr">
        <is>
          <t>—</t>
        </is>
      </c>
    </row>
    <row r="8" ht="22" customHeight="1">
      <c r="B8" s="15" t="inlineStr">
        <is>
          <t>DH 3</t>
        </is>
      </c>
      <c r="C8" s="17" t="n">
        <v>1</v>
      </c>
      <c r="D8" s="17" t="inlineStr">
        <is>
          <t>Sala 3</t>
        </is>
      </c>
      <c r="E8" s="17" t="inlineStr">
        <is>
          <t>Seg-Sex</t>
        </is>
      </c>
      <c r="F8" s="72" t="n">
        <v>46258</v>
      </c>
      <c r="G8" s="72" t="n">
        <v>46269</v>
      </c>
      <c r="H8" s="17" t="n">
        <v>10</v>
      </c>
      <c r="I8" s="73" t="inlineStr">
        <is>
          <t>—</t>
        </is>
      </c>
    </row>
    <row r="9" ht="22" customHeight="1">
      <c r="B9" s="15" t="inlineStr">
        <is>
          <t>DH 4</t>
        </is>
      </c>
      <c r="C9" s="17" t="n">
        <v>2</v>
      </c>
      <c r="D9" s="17" t="inlineStr">
        <is>
          <t>Sala 1</t>
        </is>
      </c>
      <c r="E9" s="17" t="inlineStr">
        <is>
          <t>Seg-Sex</t>
        </is>
      </c>
      <c r="F9" s="72" t="n">
        <v>46273</v>
      </c>
      <c r="G9" s="72" t="n">
        <v>46286</v>
      </c>
      <c r="H9" s="17" t="n">
        <v>10</v>
      </c>
      <c r="I9" s="73" t="inlineStr">
        <is>
          <t>—</t>
        </is>
      </c>
    </row>
    <row r="10" ht="22" customHeight="1">
      <c r="B10" s="15" t="inlineStr">
        <is>
          <t>DH 5</t>
        </is>
      </c>
      <c r="C10" s="17" t="n">
        <v>2</v>
      </c>
      <c r="D10" s="17" t="inlineStr">
        <is>
          <t>Sala 2</t>
        </is>
      </c>
      <c r="E10" s="17" t="inlineStr">
        <is>
          <t>Seg-Sex</t>
        </is>
      </c>
      <c r="F10" s="72" t="n">
        <v>46273</v>
      </c>
      <c r="G10" s="72" t="n">
        <v>46286</v>
      </c>
      <c r="H10" s="17" t="n">
        <v>10</v>
      </c>
      <c r="I10" s="73" t="inlineStr">
        <is>
          <t>—</t>
        </is>
      </c>
    </row>
    <row r="11" ht="22" customHeight="1">
      <c r="B11" s="15" t="inlineStr">
        <is>
          <t>DH 6</t>
        </is>
      </c>
      <c r="C11" s="17" t="n">
        <v>2</v>
      </c>
      <c r="D11" s="17" t="inlineStr">
        <is>
          <t>Sala 3</t>
        </is>
      </c>
      <c r="E11" s="17" t="inlineStr">
        <is>
          <t>Seg-Sex</t>
        </is>
      </c>
      <c r="F11" s="72" t="n">
        <v>46273</v>
      </c>
      <c r="G11" s="72" t="n">
        <v>46286</v>
      </c>
      <c r="H11" s="17" t="n">
        <v>10</v>
      </c>
      <c r="I11" s="73" t="inlineStr">
        <is>
          <t>—</t>
        </is>
      </c>
    </row>
    <row r="12" ht="22" customHeight="1">
      <c r="B12" s="15" t="inlineStr">
        <is>
          <t>DH 7</t>
        </is>
      </c>
      <c r="C12" s="17" t="n">
        <v>3</v>
      </c>
      <c r="D12" s="17" t="inlineStr">
        <is>
          <t>Sala 1</t>
        </is>
      </c>
      <c r="E12" s="17" t="inlineStr">
        <is>
          <t>Seg-Sex</t>
        </is>
      </c>
      <c r="F12" s="72" t="n">
        <v>46287</v>
      </c>
      <c r="G12" s="72" t="n">
        <v>46300</v>
      </c>
      <c r="H12" s="17" t="n">
        <v>10</v>
      </c>
      <c r="I12" s="73" t="inlineStr">
        <is>
          <t>—</t>
        </is>
      </c>
    </row>
    <row r="13" ht="22" customHeight="1">
      <c r="B13" s="15" t="inlineStr">
        <is>
          <t>DH 8</t>
        </is>
      </c>
      <c r="C13" s="17" t="n">
        <v>3</v>
      </c>
      <c r="D13" s="17" t="inlineStr">
        <is>
          <t>Sala 2</t>
        </is>
      </c>
      <c r="E13" s="17" t="inlineStr">
        <is>
          <t>Seg-Sex</t>
        </is>
      </c>
      <c r="F13" s="72" t="n">
        <v>46287</v>
      </c>
      <c r="G13" s="72" t="n">
        <v>46300</v>
      </c>
      <c r="H13" s="17" t="n">
        <v>10</v>
      </c>
      <c r="I13" s="73" t="inlineStr">
        <is>
          <t>—</t>
        </is>
      </c>
    </row>
    <row r="14" ht="22" customHeight="1">
      <c r="B14" s="15" t="inlineStr">
        <is>
          <t>DH 9</t>
        </is>
      </c>
      <c r="C14" s="17" t="n">
        <v>3</v>
      </c>
      <c r="D14" s="17" t="inlineStr">
        <is>
          <t>Sala 3</t>
        </is>
      </c>
      <c r="E14" s="17" t="inlineStr">
        <is>
          <t>Seg-Sex</t>
        </is>
      </c>
      <c r="F14" s="72" t="n">
        <v>46287</v>
      </c>
      <c r="G14" s="72" t="n">
        <v>46300</v>
      </c>
      <c r="H14" s="17" t="n">
        <v>10</v>
      </c>
      <c r="I14" s="73" t="inlineStr">
        <is>
          <t>—</t>
        </is>
      </c>
    </row>
    <row r="15" ht="22" customHeight="1">
      <c r="B15" s="64" t="inlineStr">
        <is>
          <t>DH 10</t>
        </is>
      </c>
      <c r="C15" s="65" t="n">
        <v>4</v>
      </c>
      <c r="D15" s="65" t="inlineStr">
        <is>
          <t>Sala 1</t>
        </is>
      </c>
      <c r="E15" s="65" t="inlineStr">
        <is>
          <t>Seg-Sex</t>
        </is>
      </c>
      <c r="F15" s="66" t="n">
        <v>46301</v>
      </c>
      <c r="G15" s="66" t="n">
        <v>46315</v>
      </c>
      <c r="H15" s="65" t="n">
        <v>10</v>
      </c>
      <c r="I15" s="67" t="inlineStr">
        <is>
          <t>Período inclui feriado(s): 12/10</t>
        </is>
      </c>
    </row>
    <row r="16" ht="22" customHeight="1">
      <c r="B16" s="64" t="inlineStr">
        <is>
          <t>DH 11</t>
        </is>
      </c>
      <c r="C16" s="65" t="n">
        <v>4</v>
      </c>
      <c r="D16" s="65" t="inlineStr">
        <is>
          <t>Sala 2</t>
        </is>
      </c>
      <c r="E16" s="65" t="inlineStr">
        <is>
          <t>Seg-Sex</t>
        </is>
      </c>
      <c r="F16" s="66" t="n">
        <v>46301</v>
      </c>
      <c r="G16" s="66" t="n">
        <v>46315</v>
      </c>
      <c r="H16" s="65" t="n">
        <v>10</v>
      </c>
      <c r="I16" s="67" t="inlineStr">
        <is>
          <t>Período inclui feriado(s): 12/10</t>
        </is>
      </c>
    </row>
    <row r="17" ht="22" customHeight="1">
      <c r="B17" s="64" t="inlineStr">
        <is>
          <t>DH 12</t>
        </is>
      </c>
      <c r="C17" s="65" t="n">
        <v>4</v>
      </c>
      <c r="D17" s="65" t="inlineStr">
        <is>
          <t>Sala 3</t>
        </is>
      </c>
      <c r="E17" s="65" t="inlineStr">
        <is>
          <t>Seg-Sex</t>
        </is>
      </c>
      <c r="F17" s="66" t="n">
        <v>46301</v>
      </c>
      <c r="G17" s="66" t="n">
        <v>46315</v>
      </c>
      <c r="H17" s="65" t="n">
        <v>10</v>
      </c>
      <c r="I17" s="67" t="inlineStr">
        <is>
          <t>Período inclui feriado(s): 12/10</t>
        </is>
      </c>
    </row>
    <row r="18" ht="22" customHeight="1">
      <c r="B18" s="64" t="inlineStr">
        <is>
          <t>DH 13</t>
        </is>
      </c>
      <c r="C18" s="65" t="n">
        <v>5</v>
      </c>
      <c r="D18" s="65" t="inlineStr">
        <is>
          <t>Sala 1</t>
        </is>
      </c>
      <c r="E18" s="65" t="inlineStr">
        <is>
          <t>Seg-Sex</t>
        </is>
      </c>
      <c r="F18" s="66" t="n">
        <v>46316</v>
      </c>
      <c r="G18" s="66" t="n">
        <v>46330</v>
      </c>
      <c r="H18" s="65" t="n">
        <v>10</v>
      </c>
      <c r="I18" s="67" t="inlineStr">
        <is>
          <t>Período inclui feriado(s): 02/11</t>
        </is>
      </c>
    </row>
    <row r="19" ht="22" customHeight="1">
      <c r="B19" s="64" t="inlineStr">
        <is>
          <t>DH 14</t>
        </is>
      </c>
      <c r="C19" s="65" t="n">
        <v>5</v>
      </c>
      <c r="D19" s="65" t="inlineStr">
        <is>
          <t>Sala 2</t>
        </is>
      </c>
      <c r="E19" s="65" t="inlineStr">
        <is>
          <t>Seg-Sex</t>
        </is>
      </c>
      <c r="F19" s="66" t="n">
        <v>46316</v>
      </c>
      <c r="G19" s="66" t="n">
        <v>46330</v>
      </c>
      <c r="H19" s="65" t="n">
        <v>10</v>
      </c>
      <c r="I19" s="67" t="inlineStr">
        <is>
          <t>Período inclui feriado(s): 02/11</t>
        </is>
      </c>
    </row>
    <row r="20" ht="22" customHeight="1">
      <c r="B20" s="64" t="inlineStr">
        <is>
          <t>DH 15</t>
        </is>
      </c>
      <c r="C20" s="65" t="n">
        <v>5</v>
      </c>
      <c r="D20" s="65" t="inlineStr">
        <is>
          <t>Sala 3</t>
        </is>
      </c>
      <c r="E20" s="65" t="inlineStr">
        <is>
          <t>Seg-Sex</t>
        </is>
      </c>
      <c r="F20" s="66" t="n">
        <v>46316</v>
      </c>
      <c r="G20" s="66" t="n">
        <v>46330</v>
      </c>
      <c r="H20" s="65" t="n">
        <v>10</v>
      </c>
      <c r="I20" s="67" t="inlineStr">
        <is>
          <t>Período inclui feriado(s): 02/11</t>
        </is>
      </c>
    </row>
    <row r="22" ht="30" customHeight="1">
      <c r="B22" s="14" t="inlineStr">
        <is>
          <t>Indicador</t>
        </is>
      </c>
      <c r="C22" s="14" t="inlineStr">
        <is>
          <t>Resultado</t>
        </is>
      </c>
      <c r="D22" s="14" t="inlineStr">
        <is>
          <t>Leitura</t>
        </is>
      </c>
      <c r="E22" s="68" t="n"/>
      <c r="F22" s="68" t="n"/>
      <c r="G22" s="68" t="n"/>
      <c r="H22" s="68" t="n"/>
      <c r="I22" s="69" t="n"/>
    </row>
    <row r="23" ht="24" customHeight="1">
      <c r="B23" s="15" t="inlineStr">
        <is>
          <t>Início da 1ª turma</t>
        </is>
      </c>
      <c r="C23" s="70">
        <f>MIN(F6:F20)</f>
        <v/>
      </c>
      <c r="D23" s="6" t="inlineStr">
        <is>
          <t>Marco de início da fase de Desenvolvimento Humano</t>
        </is>
      </c>
    </row>
    <row r="24" ht="24" customHeight="1">
      <c r="B24" s="15" t="inlineStr">
        <is>
          <t>Conclusão da 4ª turma</t>
        </is>
      </c>
      <c r="C24" s="70">
        <f>SMALL(G6:G20,4)</f>
        <v/>
      </c>
      <c r="D24" s="6" t="inlineStr">
        <is>
          <t>Marco para liberar o primeiro lote de Curso Técnico (premissa: após 4 DH)</t>
        </is>
      </c>
    </row>
    <row r="25" ht="24" customHeight="1">
      <c r="B25" s="15" t="inlineStr">
        <is>
          <t>Conclusão da 15ª turma (todas)</t>
        </is>
      </c>
      <c r="C25" s="70">
        <f>MAX(G6:G20)</f>
        <v/>
      </c>
      <c r="D25" s="6" t="inlineStr">
        <is>
          <t>Fim estimado da fase de Desenvolvimento Humano</t>
        </is>
      </c>
    </row>
    <row r="26" ht="24" customHeight="1">
      <c r="B26" s="15" t="inlineStr">
        <is>
          <t>Duração da fase DH (dias corridos)</t>
        </is>
      </c>
      <c r="C26" s="71">
        <f>C25-C23+1</f>
        <v/>
      </c>
      <c r="D26" s="6" t="inlineStr">
        <is>
          <t>Da 1ª turma iniciada até a 15ª concluída</t>
        </is>
      </c>
    </row>
    <row r="27" ht="24" customHeight="1">
      <c r="B27" s="15" t="inlineStr">
        <is>
          <t>Capacidade simultânea máxima (turmas)</t>
        </is>
      </c>
      <c r="C27" s="71" t="n">
        <v>3</v>
      </c>
      <c r="D27" s="6" t="inlineStr">
        <is>
          <t>3 sala(s) × interleaving por dia da semana (2 cadências/sala se 2x/semana)</t>
        </is>
      </c>
    </row>
  </sheetData>
  <mergeCells count="8">
    <mergeCell ref="D24:I24"/>
    <mergeCell ref="D27:I27"/>
    <mergeCell ref="D22:I22"/>
    <mergeCell ref="D23:I23"/>
    <mergeCell ref="B2:I2"/>
    <mergeCell ref="B3:I3"/>
    <mergeCell ref="D26:I26"/>
    <mergeCell ref="D25:I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DC3E6"/>
    <outlinePr summaryBelow="1" summaryRight="1"/>
    <pageSetUpPr/>
  </sheetPr>
  <dimension ref="B2:J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34" customWidth="1" min="9" max="9"/>
    <col width="3" customWidth="1" min="10" max="10"/>
  </cols>
  <sheetData>
    <row r="2" ht="28" customHeight="1">
      <c r="B2" s="1" t="inlineStr">
        <is>
          <t xml:space="preserve">CENÁRIO C — 2 SALAS | DH 2x/semana  </t>
        </is>
      </c>
    </row>
    <row r="3">
      <c r="B3" s="2" t="inlineStr">
        <is>
          <t>Baixa capacidade; atravessa o recesso e termina em fevereiro.  |  Indicação: Nao recomendado</t>
        </is>
      </c>
    </row>
    <row r="5" ht="30" customHeight="1">
      <c r="B5" s="18" t="inlineStr">
        <is>
          <t>Turma DH</t>
        </is>
      </c>
      <c r="C5" s="18" t="inlineStr">
        <is>
          <t>Lote</t>
        </is>
      </c>
      <c r="D5" s="18" t="inlineStr">
        <is>
          <t>Sala</t>
        </is>
      </c>
      <c r="E5" s="18" t="inlineStr">
        <is>
          <t>Cadência</t>
        </is>
      </c>
      <c r="F5" s="18" t="inlineStr">
        <is>
          <t>Início</t>
        </is>
      </c>
      <c r="G5" s="18" t="inlineStr">
        <is>
          <t>Término</t>
        </is>
      </c>
      <c r="H5" s="18" t="inlineStr">
        <is>
          <t>Encontros</t>
        </is>
      </c>
      <c r="I5" s="18" t="inlineStr">
        <is>
          <t>Nº aprox. de
participantes</t>
        </is>
      </c>
      <c r="J5" s="18" t="inlineStr">
        <is>
          <t>Observação</t>
        </is>
      </c>
    </row>
    <row r="6" ht="22" customHeight="1">
      <c r="B6" s="64" t="inlineStr">
        <is>
          <t>DH 1</t>
        </is>
      </c>
      <c r="C6" s="65" t="n">
        <v>1</v>
      </c>
      <c r="D6" s="65" t="inlineStr">
        <is>
          <t>Sala 1</t>
        </is>
      </c>
      <c r="E6" s="65" t="inlineStr">
        <is>
          <t>Ter/Qui</t>
        </is>
      </c>
      <c r="F6" s="66" t="n">
        <v>46259</v>
      </c>
      <c r="G6" s="66" t="n">
        <v>46289</v>
      </c>
      <c r="H6" s="65" t="n">
        <v>10</v>
      </c>
      <c r="I6" s="67" t="inlineStr">
        <is>
          <t>Período inclui feriado(s): 07/09</t>
        </is>
      </c>
    </row>
    <row r="7" ht="22" customHeight="1">
      <c r="B7" s="64" t="inlineStr">
        <is>
          <t>DH 2</t>
        </is>
      </c>
      <c r="C7" s="65" t="n">
        <v>1</v>
      </c>
      <c r="D7" s="65" t="inlineStr">
        <is>
          <t>Sala 2</t>
        </is>
      </c>
      <c r="E7" s="65" t="inlineStr">
        <is>
          <t>Ter/Qui</t>
        </is>
      </c>
      <c r="F7" s="66" t="n">
        <v>46259</v>
      </c>
      <c r="G7" s="66" t="n">
        <v>46289</v>
      </c>
      <c r="H7" s="65" t="n">
        <v>10</v>
      </c>
      <c r="I7" s="67" t="inlineStr">
        <is>
          <t>Período inclui feriado(s): 07/09</t>
        </is>
      </c>
    </row>
    <row r="8" ht="22" customHeight="1">
      <c r="B8" s="64" t="inlineStr">
        <is>
          <t>DH 3</t>
        </is>
      </c>
      <c r="C8" s="65" t="n">
        <v>1</v>
      </c>
      <c r="D8" s="65" t="inlineStr">
        <is>
          <t>Sala 1</t>
        </is>
      </c>
      <c r="E8" s="65" t="inlineStr">
        <is>
          <t>Seg/Qua</t>
        </is>
      </c>
      <c r="F8" s="66" t="n">
        <v>46258</v>
      </c>
      <c r="G8" s="66" t="n">
        <v>46293</v>
      </c>
      <c r="H8" s="65" t="n">
        <v>10</v>
      </c>
      <c r="I8" s="67" t="inlineStr">
        <is>
          <t>Período inclui feriado(s): 07/09</t>
        </is>
      </c>
    </row>
    <row r="9" ht="22" customHeight="1">
      <c r="B9" s="64" t="inlineStr">
        <is>
          <t>DH 4</t>
        </is>
      </c>
      <c r="C9" s="65" t="n">
        <v>2</v>
      </c>
      <c r="D9" s="65" t="inlineStr">
        <is>
          <t>Sala 2</t>
        </is>
      </c>
      <c r="E9" s="65" t="inlineStr">
        <is>
          <t>Seg/Qua</t>
        </is>
      </c>
      <c r="F9" s="66" t="n">
        <v>46274</v>
      </c>
      <c r="G9" s="66" t="n">
        <v>46309</v>
      </c>
      <c r="H9" s="65" t="n">
        <v>10</v>
      </c>
      <c r="I9" s="67" t="inlineStr">
        <is>
          <t>Período inclui feriado(s): 12/10</t>
        </is>
      </c>
    </row>
    <row r="10" ht="22" customHeight="1">
      <c r="B10" s="64" t="inlineStr">
        <is>
          <t>DH 5</t>
        </is>
      </c>
      <c r="C10" s="65" t="n">
        <v>2</v>
      </c>
      <c r="D10" s="65" t="inlineStr">
        <is>
          <t>Sala 1</t>
        </is>
      </c>
      <c r="E10" s="65" t="inlineStr">
        <is>
          <t>Ter/Qui</t>
        </is>
      </c>
      <c r="F10" s="66" t="n">
        <v>46294</v>
      </c>
      <c r="G10" s="66" t="n">
        <v>46324</v>
      </c>
      <c r="H10" s="65" t="n">
        <v>10</v>
      </c>
      <c r="I10" s="67" t="inlineStr">
        <is>
          <t>Período inclui feriado(s): 12/10</t>
        </is>
      </c>
    </row>
    <row r="11" ht="22" customHeight="1">
      <c r="B11" s="64" t="inlineStr">
        <is>
          <t>DH 6</t>
        </is>
      </c>
      <c r="C11" s="65" t="n">
        <v>2</v>
      </c>
      <c r="D11" s="65" t="inlineStr">
        <is>
          <t>Sala 2</t>
        </is>
      </c>
      <c r="E11" s="65" t="inlineStr">
        <is>
          <t>Ter/Qui</t>
        </is>
      </c>
      <c r="F11" s="66" t="n">
        <v>46294</v>
      </c>
      <c r="G11" s="66" t="n">
        <v>46324</v>
      </c>
      <c r="H11" s="65" t="n">
        <v>10</v>
      </c>
      <c r="I11" s="67" t="inlineStr">
        <is>
          <t>Período inclui feriado(s): 12/10</t>
        </is>
      </c>
    </row>
    <row r="12" ht="22" customHeight="1">
      <c r="B12" s="64" t="inlineStr">
        <is>
          <t>DH 7</t>
        </is>
      </c>
      <c r="C12" s="65" t="n">
        <v>3</v>
      </c>
      <c r="D12" s="65" t="inlineStr">
        <is>
          <t>Sala 1</t>
        </is>
      </c>
      <c r="E12" s="65" t="inlineStr">
        <is>
          <t>Seg/Qua</t>
        </is>
      </c>
      <c r="F12" s="66" t="n">
        <v>46295</v>
      </c>
      <c r="G12" s="66" t="n">
        <v>46335</v>
      </c>
      <c r="H12" s="65" t="n">
        <v>10</v>
      </c>
      <c r="I12" s="67" t="inlineStr">
        <is>
          <t>Período inclui feriado(s): 12/10, 02/11</t>
        </is>
      </c>
    </row>
    <row r="13" ht="22" customHeight="1">
      <c r="B13" s="64" t="inlineStr">
        <is>
          <t>DH 8</t>
        </is>
      </c>
      <c r="C13" s="65" t="n">
        <v>3</v>
      </c>
      <c r="D13" s="65" t="inlineStr">
        <is>
          <t>Sala 2</t>
        </is>
      </c>
      <c r="E13" s="65" t="inlineStr">
        <is>
          <t>Seg/Qua</t>
        </is>
      </c>
      <c r="F13" s="66" t="n">
        <v>46314</v>
      </c>
      <c r="G13" s="66" t="n">
        <v>46349</v>
      </c>
      <c r="H13" s="65" t="n">
        <v>10</v>
      </c>
      <c r="I13" s="67" t="inlineStr">
        <is>
          <t>Período inclui feriado(s): 02/11, 20/11</t>
        </is>
      </c>
    </row>
    <row r="14" ht="22" customHeight="1">
      <c r="B14" s="64" t="inlineStr">
        <is>
          <t>DH 9</t>
        </is>
      </c>
      <c r="C14" s="65" t="n">
        <v>3</v>
      </c>
      <c r="D14" s="65" t="inlineStr">
        <is>
          <t>Sala 1</t>
        </is>
      </c>
      <c r="E14" s="65" t="inlineStr">
        <is>
          <t>Ter/Qui</t>
        </is>
      </c>
      <c r="F14" s="66" t="n">
        <v>46329</v>
      </c>
      <c r="G14" s="66" t="n">
        <v>46359</v>
      </c>
      <c r="H14" s="65" t="n">
        <v>10</v>
      </c>
      <c r="I14" s="67" t="inlineStr">
        <is>
          <t>Período inclui feriado(s): 20/11</t>
        </is>
      </c>
    </row>
    <row r="15" ht="22" customHeight="1">
      <c r="B15" s="64" t="inlineStr">
        <is>
          <t>DH 10</t>
        </is>
      </c>
      <c r="C15" s="65" t="n">
        <v>4</v>
      </c>
      <c r="D15" s="65" t="inlineStr">
        <is>
          <t>Sala 2</t>
        </is>
      </c>
      <c r="E15" s="65" t="inlineStr">
        <is>
          <t>Ter/Qui</t>
        </is>
      </c>
      <c r="F15" s="66" t="n">
        <v>46329</v>
      </c>
      <c r="G15" s="66" t="n">
        <v>46359</v>
      </c>
      <c r="H15" s="65" t="n">
        <v>10</v>
      </c>
      <c r="I15" s="67" t="inlineStr">
        <is>
          <t>Período inclui feriado(s): 20/11</t>
        </is>
      </c>
    </row>
    <row r="16" ht="22" customHeight="1">
      <c r="B16" s="64" t="inlineStr">
        <is>
          <t>DH 11</t>
        </is>
      </c>
      <c r="C16" s="65" t="n">
        <v>4</v>
      </c>
      <c r="D16" s="65" t="inlineStr">
        <is>
          <t>Sala 1</t>
        </is>
      </c>
      <c r="E16" s="65" t="inlineStr">
        <is>
          <t>Seg/Qua</t>
        </is>
      </c>
      <c r="F16" s="66" t="n">
        <v>46337</v>
      </c>
      <c r="G16" s="66" t="n">
        <v>46370</v>
      </c>
      <c r="H16" s="65" t="n">
        <v>10</v>
      </c>
      <c r="I16" s="67" t="inlineStr">
        <is>
          <t>Período inclui feriado(s): 20/11</t>
        </is>
      </c>
    </row>
    <row r="17" ht="22" customHeight="1">
      <c r="B17" s="64" t="inlineStr">
        <is>
          <t>DH 12</t>
        </is>
      </c>
      <c r="C17" s="65" t="n">
        <v>4</v>
      </c>
      <c r="D17" s="65" t="inlineStr">
        <is>
          <t>Sala 2</t>
        </is>
      </c>
      <c r="E17" s="65" t="inlineStr">
        <is>
          <t>Seg/Qua</t>
        </is>
      </c>
      <c r="F17" s="66" t="n">
        <v>46351</v>
      </c>
      <c r="G17" s="66" t="n">
        <v>46405</v>
      </c>
      <c r="H17" s="65" t="n">
        <v>10</v>
      </c>
      <c r="I17" s="67" t="inlineStr">
        <is>
          <t>Atravessa o recesso institucional (21/12-08/01) — pendente de confirmação; Período inclui feriado(s): 25/12, 01/01</t>
        </is>
      </c>
    </row>
    <row r="18" ht="22" customHeight="1">
      <c r="B18" s="64" t="inlineStr">
        <is>
          <t>DH 13</t>
        </is>
      </c>
      <c r="C18" s="65" t="n">
        <v>5</v>
      </c>
      <c r="D18" s="65" t="inlineStr">
        <is>
          <t>Sala 1</t>
        </is>
      </c>
      <c r="E18" s="65" t="inlineStr">
        <is>
          <t>Ter/Qui</t>
        </is>
      </c>
      <c r="F18" s="66" t="n">
        <v>46364</v>
      </c>
      <c r="G18" s="66" t="n">
        <v>46415</v>
      </c>
      <c r="H18" s="65" t="n">
        <v>10</v>
      </c>
      <c r="I18" s="67" t="inlineStr">
        <is>
          <t>Atravessa o recesso institucional (21/12-08/01) — pendente de confirmação; Período inclui feriado(s): 25/12, 01/01</t>
        </is>
      </c>
    </row>
    <row r="19" ht="22" customHeight="1">
      <c r="B19" s="64" t="inlineStr">
        <is>
          <t>DH 14</t>
        </is>
      </c>
      <c r="C19" s="65" t="n">
        <v>5</v>
      </c>
      <c r="D19" s="65" t="inlineStr">
        <is>
          <t>Sala 2</t>
        </is>
      </c>
      <c r="E19" s="65" t="inlineStr">
        <is>
          <t>Ter/Qui</t>
        </is>
      </c>
      <c r="F19" s="66" t="n">
        <v>46364</v>
      </c>
      <c r="G19" s="66" t="n">
        <v>46415</v>
      </c>
      <c r="H19" s="65" t="n">
        <v>10</v>
      </c>
      <c r="I19" s="67" t="inlineStr">
        <is>
          <t>Atravessa o recesso institucional (21/12-08/01) — pendente de confirmação; Período inclui feriado(s): 25/12, 01/01</t>
        </is>
      </c>
    </row>
    <row r="20" ht="22" customHeight="1">
      <c r="B20" s="64" t="inlineStr">
        <is>
          <t>DH 15</t>
        </is>
      </c>
      <c r="C20" s="65" t="n">
        <v>5</v>
      </c>
      <c r="D20" s="65" t="inlineStr">
        <is>
          <t>Sala 1</t>
        </is>
      </c>
      <c r="E20" s="65" t="inlineStr">
        <is>
          <t>Seg/Qua</t>
        </is>
      </c>
      <c r="F20" s="66" t="n">
        <v>46372</v>
      </c>
      <c r="G20" s="66" t="n">
        <v>46426</v>
      </c>
      <c r="H20" s="65" t="n">
        <v>10</v>
      </c>
      <c r="I20" s="67" t="inlineStr">
        <is>
          <t>Atravessa o recesso institucional (21/12-08/01) — pendente de confirmação; Período inclui feriado(s): 25/12, 01/01</t>
        </is>
      </c>
    </row>
    <row r="22" ht="30" customHeight="1">
      <c r="B22" s="14" t="inlineStr">
        <is>
          <t>Indicador</t>
        </is>
      </c>
      <c r="C22" s="14" t="inlineStr">
        <is>
          <t>Resultado</t>
        </is>
      </c>
      <c r="D22" s="14" t="inlineStr">
        <is>
          <t>Leitura</t>
        </is>
      </c>
      <c r="E22" s="68" t="n"/>
      <c r="F22" s="68" t="n"/>
      <c r="G22" s="68" t="n"/>
      <c r="H22" s="68" t="n"/>
      <c r="I22" s="69" t="n"/>
    </row>
    <row r="23" ht="24" customHeight="1">
      <c r="B23" s="15" t="inlineStr">
        <is>
          <t>Início da 1ª turma</t>
        </is>
      </c>
      <c r="C23" s="70">
        <f>MIN(F6:F20)</f>
        <v/>
      </c>
      <c r="D23" s="6" t="inlineStr">
        <is>
          <t>Marco de início da fase de Desenvolvimento Humano</t>
        </is>
      </c>
    </row>
    <row r="24" ht="24" customHeight="1">
      <c r="B24" s="15" t="inlineStr">
        <is>
          <t>Conclusão da 4ª turma</t>
        </is>
      </c>
      <c r="C24" s="70">
        <f>SMALL(G6:G20,4)</f>
        <v/>
      </c>
      <c r="D24" s="6" t="inlineStr">
        <is>
          <t>Marco para liberar o primeiro lote de Curso Técnico (premissa: após 4 DH)</t>
        </is>
      </c>
    </row>
    <row r="25" ht="24" customHeight="1">
      <c r="B25" s="15" t="inlineStr">
        <is>
          <t>Conclusão da 15ª turma (todas)</t>
        </is>
      </c>
      <c r="C25" s="70">
        <f>MAX(G6:G20)</f>
        <v/>
      </c>
      <c r="D25" s="6" t="inlineStr">
        <is>
          <t>Fim estimado da fase de Desenvolvimento Humano</t>
        </is>
      </c>
    </row>
    <row r="26" ht="24" customHeight="1">
      <c r="B26" s="15" t="inlineStr">
        <is>
          <t>Duração da fase DH (dias corridos)</t>
        </is>
      </c>
      <c r="C26" s="71">
        <f>C25-C23+1</f>
        <v/>
      </c>
      <c r="D26" s="6" t="inlineStr">
        <is>
          <t>Da 1ª turma iniciada até a 15ª concluída</t>
        </is>
      </c>
    </row>
    <row r="27" ht="24" customHeight="1">
      <c r="B27" s="15" t="inlineStr">
        <is>
          <t>Capacidade simultânea máxima (turmas)</t>
        </is>
      </c>
      <c r="C27" s="71" t="n">
        <v>4</v>
      </c>
      <c r="D27" s="6" t="inlineStr">
        <is>
          <t>2 sala(s) × interleaving por dia da semana (2 cadências/sala se 2x/semana)</t>
        </is>
      </c>
    </row>
  </sheetData>
  <mergeCells count="8">
    <mergeCell ref="D24:I24"/>
    <mergeCell ref="D27:I27"/>
    <mergeCell ref="D22:I22"/>
    <mergeCell ref="D23:I23"/>
    <mergeCell ref="B2:I2"/>
    <mergeCell ref="B3:I3"/>
    <mergeCell ref="D26:I26"/>
    <mergeCell ref="D25:I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DC3E6"/>
    <outlinePr summaryBelow="1" summaryRight="1"/>
    <pageSetUpPr/>
  </sheetPr>
  <dimension ref="B2:J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34" customWidth="1" min="9" max="9"/>
    <col width="3" customWidth="1" min="10" max="10"/>
  </cols>
  <sheetData>
    <row r="2" ht="28" customHeight="1">
      <c r="B2" s="1" t="inlineStr">
        <is>
          <t xml:space="preserve">CENÁRIO D — 2 SALAS | DH 5x/semana  </t>
        </is>
      </c>
    </row>
    <row r="3">
      <c r="B3" s="2" t="inlineStr">
        <is>
          <t>Viavel, porem com pouca folga e alta intensidade diaria.  |  Indicação: Plano de contingencia</t>
        </is>
      </c>
    </row>
    <row r="5" ht="30" customHeight="1">
      <c r="B5" s="18" t="inlineStr">
        <is>
          <t>Turma DH</t>
        </is>
      </c>
      <c r="C5" s="18" t="inlineStr">
        <is>
          <t>Lote</t>
        </is>
      </c>
      <c r="D5" s="18" t="inlineStr">
        <is>
          <t>Sala</t>
        </is>
      </c>
      <c r="E5" s="18" t="inlineStr">
        <is>
          <t>Cadência</t>
        </is>
      </c>
      <c r="F5" s="18" t="inlineStr">
        <is>
          <t>Início</t>
        </is>
      </c>
      <c r="G5" s="18" t="inlineStr">
        <is>
          <t>Término</t>
        </is>
      </c>
      <c r="H5" s="18" t="inlineStr">
        <is>
          <t>Encontros</t>
        </is>
      </c>
      <c r="I5" s="18" t="inlineStr">
        <is>
          <t>Nº aprox. de
participantes</t>
        </is>
      </c>
      <c r="J5" s="18" t="inlineStr">
        <is>
          <t>Observação</t>
        </is>
      </c>
    </row>
    <row r="6" ht="22" customHeight="1">
      <c r="B6" s="15" t="inlineStr">
        <is>
          <t>DH 1</t>
        </is>
      </c>
      <c r="C6" s="17" t="n">
        <v>1</v>
      </c>
      <c r="D6" s="17" t="inlineStr">
        <is>
          <t>Sala 1</t>
        </is>
      </c>
      <c r="E6" s="17" t="inlineStr">
        <is>
          <t>Seg-Sex</t>
        </is>
      </c>
      <c r="F6" s="72" t="n">
        <v>46258</v>
      </c>
      <c r="G6" s="72" t="n">
        <v>46269</v>
      </c>
      <c r="H6" s="17" t="n">
        <v>10</v>
      </c>
      <c r="I6" s="73" t="inlineStr">
        <is>
          <t>—</t>
        </is>
      </c>
    </row>
    <row r="7" ht="22" customHeight="1">
      <c r="B7" s="15" t="inlineStr">
        <is>
          <t>DH 2</t>
        </is>
      </c>
      <c r="C7" s="17" t="n">
        <v>1</v>
      </c>
      <c r="D7" s="17" t="inlineStr">
        <is>
          <t>Sala 2</t>
        </is>
      </c>
      <c r="E7" s="17" t="inlineStr">
        <is>
          <t>Seg-Sex</t>
        </is>
      </c>
      <c r="F7" s="72" t="n">
        <v>46258</v>
      </c>
      <c r="G7" s="72" t="n">
        <v>46269</v>
      </c>
      <c r="H7" s="17" t="n">
        <v>10</v>
      </c>
      <c r="I7" s="73" t="inlineStr">
        <is>
          <t>—</t>
        </is>
      </c>
    </row>
    <row r="8" ht="22" customHeight="1">
      <c r="B8" s="15" t="inlineStr">
        <is>
          <t>DH 3</t>
        </is>
      </c>
      <c r="C8" s="17" t="n">
        <v>2</v>
      </c>
      <c r="D8" s="17" t="inlineStr">
        <is>
          <t>Sala 1</t>
        </is>
      </c>
      <c r="E8" s="17" t="inlineStr">
        <is>
          <t>Seg-Sex</t>
        </is>
      </c>
      <c r="F8" s="72" t="n">
        <v>46273</v>
      </c>
      <c r="G8" s="72" t="n">
        <v>46286</v>
      </c>
      <c r="H8" s="17" t="n">
        <v>10</v>
      </c>
      <c r="I8" s="73" t="inlineStr">
        <is>
          <t>—</t>
        </is>
      </c>
    </row>
    <row r="9" ht="22" customHeight="1">
      <c r="B9" s="15" t="inlineStr">
        <is>
          <t>DH 4</t>
        </is>
      </c>
      <c r="C9" s="17" t="n">
        <v>2</v>
      </c>
      <c r="D9" s="17" t="inlineStr">
        <is>
          <t>Sala 2</t>
        </is>
      </c>
      <c r="E9" s="17" t="inlineStr">
        <is>
          <t>Seg-Sex</t>
        </is>
      </c>
      <c r="F9" s="72" t="n">
        <v>46273</v>
      </c>
      <c r="G9" s="72" t="n">
        <v>46286</v>
      </c>
      <c r="H9" s="17" t="n">
        <v>10</v>
      </c>
      <c r="I9" s="73" t="inlineStr">
        <is>
          <t>—</t>
        </is>
      </c>
    </row>
    <row r="10" ht="22" customHeight="1">
      <c r="B10" s="15" t="inlineStr">
        <is>
          <t>DH 5</t>
        </is>
      </c>
      <c r="C10" s="17" t="n">
        <v>3</v>
      </c>
      <c r="D10" s="17" t="inlineStr">
        <is>
          <t>Sala 1</t>
        </is>
      </c>
      <c r="E10" s="17" t="inlineStr">
        <is>
          <t>Seg-Sex</t>
        </is>
      </c>
      <c r="F10" s="72" t="n">
        <v>46287</v>
      </c>
      <c r="G10" s="72" t="n">
        <v>46300</v>
      </c>
      <c r="H10" s="17" t="n">
        <v>10</v>
      </c>
      <c r="I10" s="73" t="inlineStr">
        <is>
          <t>—</t>
        </is>
      </c>
    </row>
    <row r="11" ht="22" customHeight="1">
      <c r="B11" s="15" t="inlineStr">
        <is>
          <t>DH 6</t>
        </is>
      </c>
      <c r="C11" s="17" t="n">
        <v>3</v>
      </c>
      <c r="D11" s="17" t="inlineStr">
        <is>
          <t>Sala 2</t>
        </is>
      </c>
      <c r="E11" s="17" t="inlineStr">
        <is>
          <t>Seg-Sex</t>
        </is>
      </c>
      <c r="F11" s="72" t="n">
        <v>46287</v>
      </c>
      <c r="G11" s="72" t="n">
        <v>46300</v>
      </c>
      <c r="H11" s="17" t="n">
        <v>10</v>
      </c>
      <c r="I11" s="73" t="inlineStr">
        <is>
          <t>—</t>
        </is>
      </c>
    </row>
    <row r="12" ht="22" customHeight="1">
      <c r="B12" s="64" t="inlineStr">
        <is>
          <t>DH 7</t>
        </is>
      </c>
      <c r="C12" s="65" t="n">
        <v>4</v>
      </c>
      <c r="D12" s="65" t="inlineStr">
        <is>
          <t>Sala 1</t>
        </is>
      </c>
      <c r="E12" s="65" t="inlineStr">
        <is>
          <t>Seg-Sex</t>
        </is>
      </c>
      <c r="F12" s="66" t="n">
        <v>46301</v>
      </c>
      <c r="G12" s="66" t="n">
        <v>46315</v>
      </c>
      <c r="H12" s="65" t="n">
        <v>10</v>
      </c>
      <c r="I12" s="67" t="inlineStr">
        <is>
          <t>Período inclui feriado(s): 12/10</t>
        </is>
      </c>
    </row>
    <row r="13" ht="22" customHeight="1">
      <c r="B13" s="64" t="inlineStr">
        <is>
          <t>DH 8</t>
        </is>
      </c>
      <c r="C13" s="65" t="n">
        <v>4</v>
      </c>
      <c r="D13" s="65" t="inlineStr">
        <is>
          <t>Sala 2</t>
        </is>
      </c>
      <c r="E13" s="65" t="inlineStr">
        <is>
          <t>Seg-Sex</t>
        </is>
      </c>
      <c r="F13" s="66" t="n">
        <v>46301</v>
      </c>
      <c r="G13" s="66" t="n">
        <v>46315</v>
      </c>
      <c r="H13" s="65" t="n">
        <v>10</v>
      </c>
      <c r="I13" s="67" t="inlineStr">
        <is>
          <t>Período inclui feriado(s): 12/10</t>
        </is>
      </c>
    </row>
    <row r="14" ht="22" customHeight="1">
      <c r="B14" s="64" t="inlineStr">
        <is>
          <t>DH 9</t>
        </is>
      </c>
      <c r="C14" s="65" t="n">
        <v>5</v>
      </c>
      <c r="D14" s="65" t="inlineStr">
        <is>
          <t>Sala 1</t>
        </is>
      </c>
      <c r="E14" s="65" t="inlineStr">
        <is>
          <t>Seg-Sex</t>
        </is>
      </c>
      <c r="F14" s="66" t="n">
        <v>46316</v>
      </c>
      <c r="G14" s="66" t="n">
        <v>46330</v>
      </c>
      <c r="H14" s="65" t="n">
        <v>10</v>
      </c>
      <c r="I14" s="67" t="inlineStr">
        <is>
          <t>Período inclui feriado(s): 02/11</t>
        </is>
      </c>
    </row>
    <row r="15" ht="22" customHeight="1">
      <c r="B15" s="64" t="inlineStr">
        <is>
          <t>DH 10</t>
        </is>
      </c>
      <c r="C15" s="65" t="n">
        <v>5</v>
      </c>
      <c r="D15" s="65" t="inlineStr">
        <is>
          <t>Sala 2</t>
        </is>
      </c>
      <c r="E15" s="65" t="inlineStr">
        <is>
          <t>Seg-Sex</t>
        </is>
      </c>
      <c r="F15" s="66" t="n">
        <v>46316</v>
      </c>
      <c r="G15" s="66" t="n">
        <v>46330</v>
      </c>
      <c r="H15" s="65" t="n">
        <v>10</v>
      </c>
      <c r="I15" s="67" t="inlineStr">
        <is>
          <t>Período inclui feriado(s): 02/11</t>
        </is>
      </c>
    </row>
    <row r="16" ht="22" customHeight="1">
      <c r="B16" s="15" t="inlineStr">
        <is>
          <t>DH 11</t>
        </is>
      </c>
      <c r="C16" s="17" t="n">
        <v>6</v>
      </c>
      <c r="D16" s="17" t="inlineStr">
        <is>
          <t>Sala 1</t>
        </is>
      </c>
      <c r="E16" s="17" t="inlineStr">
        <is>
          <t>Seg-Sex</t>
        </is>
      </c>
      <c r="F16" s="72" t="n">
        <v>46331</v>
      </c>
      <c r="G16" s="72" t="n">
        <v>46344</v>
      </c>
      <c r="H16" s="17" t="n">
        <v>10</v>
      </c>
      <c r="I16" s="73" t="inlineStr">
        <is>
          <t>—</t>
        </is>
      </c>
    </row>
    <row r="17" ht="22" customHeight="1">
      <c r="B17" s="15" t="inlineStr">
        <is>
          <t>DH 12</t>
        </is>
      </c>
      <c r="C17" s="17" t="n">
        <v>6</v>
      </c>
      <c r="D17" s="17" t="inlineStr">
        <is>
          <t>Sala 2</t>
        </is>
      </c>
      <c r="E17" s="17" t="inlineStr">
        <is>
          <t>Seg-Sex</t>
        </is>
      </c>
      <c r="F17" s="72" t="n">
        <v>46331</v>
      </c>
      <c r="G17" s="72" t="n">
        <v>46344</v>
      </c>
      <c r="H17" s="17" t="n">
        <v>10</v>
      </c>
      <c r="I17" s="73" t="inlineStr">
        <is>
          <t>—</t>
        </is>
      </c>
    </row>
    <row r="18" ht="22" customHeight="1">
      <c r="B18" s="64" t="inlineStr">
        <is>
          <t>DH 13</t>
        </is>
      </c>
      <c r="C18" s="65" t="n">
        <v>7</v>
      </c>
      <c r="D18" s="65" t="inlineStr">
        <is>
          <t>Sala 1</t>
        </is>
      </c>
      <c r="E18" s="65" t="inlineStr">
        <is>
          <t>Seg-Sex</t>
        </is>
      </c>
      <c r="F18" s="66" t="n">
        <v>46345</v>
      </c>
      <c r="G18" s="66" t="n">
        <v>46359</v>
      </c>
      <c r="H18" s="65" t="n">
        <v>10</v>
      </c>
      <c r="I18" s="67" t="inlineStr">
        <is>
          <t>Período inclui feriado(s): 20/11</t>
        </is>
      </c>
    </row>
    <row r="19" ht="22" customHeight="1">
      <c r="B19" s="64" t="inlineStr">
        <is>
          <t>DH 14</t>
        </is>
      </c>
      <c r="C19" s="65" t="n">
        <v>7</v>
      </c>
      <c r="D19" s="65" t="inlineStr">
        <is>
          <t>Sala 2</t>
        </is>
      </c>
      <c r="E19" s="65" t="inlineStr">
        <is>
          <t>Seg-Sex</t>
        </is>
      </c>
      <c r="F19" s="66" t="n">
        <v>46345</v>
      </c>
      <c r="G19" s="66" t="n">
        <v>46359</v>
      </c>
      <c r="H19" s="65" t="n">
        <v>10</v>
      </c>
      <c r="I19" s="67" t="inlineStr">
        <is>
          <t>Período inclui feriado(s): 20/11</t>
        </is>
      </c>
    </row>
    <row r="20" ht="22" customHeight="1">
      <c r="B20" s="15" t="inlineStr">
        <is>
          <t>DH 15</t>
        </is>
      </c>
      <c r="C20" s="17" t="n">
        <v>8</v>
      </c>
      <c r="D20" s="17" t="inlineStr">
        <is>
          <t>Sala 1</t>
        </is>
      </c>
      <c r="E20" s="17" t="inlineStr">
        <is>
          <t>Seg-Sex</t>
        </is>
      </c>
      <c r="F20" s="72" t="n">
        <v>46360</v>
      </c>
      <c r="G20" s="72" t="n">
        <v>46373</v>
      </c>
      <c r="H20" s="17" t="n">
        <v>10</v>
      </c>
      <c r="I20" s="73" t="inlineStr">
        <is>
          <t>—</t>
        </is>
      </c>
    </row>
    <row r="22" ht="30" customHeight="1">
      <c r="B22" s="14" t="inlineStr">
        <is>
          <t>Indicador</t>
        </is>
      </c>
      <c r="C22" s="14" t="inlineStr">
        <is>
          <t>Resultado</t>
        </is>
      </c>
      <c r="D22" s="14" t="inlineStr">
        <is>
          <t>Leitura</t>
        </is>
      </c>
      <c r="E22" s="68" t="n"/>
      <c r="F22" s="68" t="n"/>
      <c r="G22" s="68" t="n"/>
      <c r="H22" s="68" t="n"/>
      <c r="I22" s="69" t="n"/>
    </row>
    <row r="23" ht="24" customHeight="1">
      <c r="B23" s="15" t="inlineStr">
        <is>
          <t>Início da 1ª turma</t>
        </is>
      </c>
      <c r="C23" s="70">
        <f>MIN(F6:F20)</f>
        <v/>
      </c>
      <c r="D23" s="6" t="inlineStr">
        <is>
          <t>Marco de início da fase de Desenvolvimento Humano</t>
        </is>
      </c>
    </row>
    <row r="24" ht="24" customHeight="1">
      <c r="B24" s="15" t="inlineStr">
        <is>
          <t>Conclusão da 4ª turma</t>
        </is>
      </c>
      <c r="C24" s="70">
        <f>SMALL(G6:G20,4)</f>
        <v/>
      </c>
      <c r="D24" s="6" t="inlineStr">
        <is>
          <t>Marco para liberar o primeiro lote de Curso Técnico (premissa: após 4 DH)</t>
        </is>
      </c>
    </row>
    <row r="25" ht="24" customHeight="1">
      <c r="B25" s="15" t="inlineStr">
        <is>
          <t>Conclusão da 15ª turma (todas)</t>
        </is>
      </c>
      <c r="C25" s="70">
        <f>MAX(G6:G20)</f>
        <v/>
      </c>
      <c r="D25" s="6" t="inlineStr">
        <is>
          <t>Fim estimado da fase de Desenvolvimento Humano</t>
        </is>
      </c>
    </row>
    <row r="26" ht="24" customHeight="1">
      <c r="B26" s="15" t="inlineStr">
        <is>
          <t>Duração da fase DH (dias corridos)</t>
        </is>
      </c>
      <c r="C26" s="71">
        <f>C25-C23+1</f>
        <v/>
      </c>
      <c r="D26" s="6" t="inlineStr">
        <is>
          <t>Da 1ª turma iniciada até a 15ª concluída</t>
        </is>
      </c>
    </row>
    <row r="27" ht="24" customHeight="1">
      <c r="B27" s="15" t="inlineStr">
        <is>
          <t>Capacidade simultânea máxima (turmas)</t>
        </is>
      </c>
      <c r="C27" s="71" t="n">
        <v>2</v>
      </c>
      <c r="D27" s="6" t="inlineStr">
        <is>
          <t>2 sala(s) × interleaving por dia da semana (2 cadências/sala se 2x/semana)</t>
        </is>
      </c>
    </row>
  </sheetData>
  <mergeCells count="8">
    <mergeCell ref="D24:I24"/>
    <mergeCell ref="D27:I27"/>
    <mergeCell ref="D22:I22"/>
    <mergeCell ref="D23:I23"/>
    <mergeCell ref="B2:I2"/>
    <mergeCell ref="B3:I3"/>
    <mergeCell ref="D26:I26"/>
    <mergeCell ref="D25:I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B2:G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14" customWidth="1" min="4" max="4"/>
    <col width="14" customWidth="1" min="5" max="5"/>
    <col width="22" customWidth="1" min="6" max="6"/>
    <col width="40" customWidth="1" min="7" max="7"/>
    <col width="3" customWidth="1" min="8" max="8"/>
  </cols>
  <sheetData>
    <row r="2" ht="28" customHeight="1">
      <c r="B2" s="1" t="inlineStr">
        <is>
          <t>CRONOGRAMA MESTRE DE PAULÍNIA — VISÃO COMPLETA DA EXECUÇÃO</t>
        </is>
      </c>
    </row>
    <row r="3">
      <c r="B3" s="2" t="inlineStr">
        <is>
          <t>Cenário recomendado (B: 3 salas, DH 5x/semana) — do início da 1ª Palestra ao fim da Consultoria Individual</t>
        </is>
      </c>
    </row>
    <row r="5" ht="30" customHeight="1">
      <c r="B5" s="18" t="inlineStr">
        <is>
          <t>Etapa</t>
        </is>
      </c>
      <c r="C5" s="18" t="inlineStr">
        <is>
          <t>Atividade / Turma</t>
        </is>
      </c>
      <c r="D5" s="18" t="inlineStr">
        <is>
          <t>Início</t>
        </is>
      </c>
      <c r="E5" s="18" t="inlineStr">
        <is>
          <t>Término</t>
        </is>
      </c>
      <c r="F5" s="18" t="inlineStr">
        <is>
          <t>Local / Sala</t>
        </is>
      </c>
      <c r="G5" s="18" t="inlineStr">
        <is>
          <t>Observação (premissa/situação)</t>
        </is>
      </c>
    </row>
    <row r="6" ht="20" customHeight="1">
      <c r="B6" s="74" t="inlineStr">
        <is>
          <t>PS</t>
        </is>
      </c>
      <c r="C6" s="6" t="inlineStr">
        <is>
          <t>Palestras de Sensibilização (PS 01-30)</t>
        </is>
      </c>
      <c r="D6" s="72" t="n">
        <v>46245</v>
      </c>
      <c r="E6" s="72" t="n">
        <v>46310</v>
      </c>
      <c r="F6" s="75" t="inlineStr">
        <is>
          <t>A definir por comunidade</t>
        </is>
      </c>
      <c r="G6" s="6" t="inlineStr">
        <is>
          <t>3x/semana (Ter/Qua/Qui), 2h cada — Confirmada</t>
        </is>
      </c>
    </row>
    <row r="7" ht="20" customHeight="1">
      <c r="B7" s="76" t="inlineStr">
        <is>
          <t>DH</t>
        </is>
      </c>
      <c r="C7" s="6" t="inlineStr">
        <is>
          <t>DH 1</t>
        </is>
      </c>
      <c r="D7" s="72" t="n">
        <v>46258</v>
      </c>
      <c r="E7" s="72" t="n">
        <v>46269</v>
      </c>
      <c r="F7" s="75" t="inlineStr">
        <is>
          <t>Sala 1</t>
        </is>
      </c>
      <c r="G7" s="6" t="inlineStr">
        <is>
          <t>Cadência Seg-Sex — Cenário B (recomendado)</t>
        </is>
      </c>
    </row>
    <row r="8" ht="20" customHeight="1">
      <c r="B8" s="76" t="inlineStr">
        <is>
          <t>DH</t>
        </is>
      </c>
      <c r="C8" s="6" t="inlineStr">
        <is>
          <t>DH 2</t>
        </is>
      </c>
      <c r="D8" s="72" t="n">
        <v>46258</v>
      </c>
      <c r="E8" s="72" t="n">
        <v>46269</v>
      </c>
      <c r="F8" s="75" t="inlineStr">
        <is>
          <t>Sala 2</t>
        </is>
      </c>
      <c r="G8" s="6" t="inlineStr">
        <is>
          <t>Cadência Seg-Sex — Cenário B (recomendado)</t>
        </is>
      </c>
    </row>
    <row r="9" ht="20" customHeight="1">
      <c r="B9" s="76" t="inlineStr">
        <is>
          <t>DH</t>
        </is>
      </c>
      <c r="C9" s="6" t="inlineStr">
        <is>
          <t>DH 3</t>
        </is>
      </c>
      <c r="D9" s="72" t="n">
        <v>46258</v>
      </c>
      <c r="E9" s="72" t="n">
        <v>46269</v>
      </c>
      <c r="F9" s="75" t="inlineStr">
        <is>
          <t>Sala 3</t>
        </is>
      </c>
      <c r="G9" s="6" t="inlineStr">
        <is>
          <t>Cadência Seg-Sex — Cenário B (recomendado)</t>
        </is>
      </c>
    </row>
    <row r="10" ht="20" customHeight="1">
      <c r="B10" s="77" t="inlineStr">
        <is>
          <t>REC</t>
        </is>
      </c>
      <c r="C10" s="6" t="inlineStr">
        <is>
          <t>Feriado: Independencia do Brasil</t>
        </is>
      </c>
      <c r="D10" s="72" t="n">
        <v>46272</v>
      </c>
      <c r="E10" s="72" t="n">
        <v>46272</v>
      </c>
      <c r="F10" s="75" t="inlineStr">
        <is>
          <t>—</t>
        </is>
      </c>
      <c r="G10" s="6" t="inlineStr">
        <is>
          <t>Confirmada (calendário municipal)</t>
        </is>
      </c>
    </row>
    <row r="11" ht="20" customHeight="1">
      <c r="B11" s="76" t="inlineStr">
        <is>
          <t>DH</t>
        </is>
      </c>
      <c r="C11" s="6" t="inlineStr">
        <is>
          <t>DH 4</t>
        </is>
      </c>
      <c r="D11" s="72" t="n">
        <v>46273</v>
      </c>
      <c r="E11" s="72" t="n">
        <v>46286</v>
      </c>
      <c r="F11" s="75" t="inlineStr">
        <is>
          <t>Sala 1</t>
        </is>
      </c>
      <c r="G11" s="6" t="inlineStr">
        <is>
          <t>Cadência Seg-Sex — Cenário B (recomendado)</t>
        </is>
      </c>
    </row>
    <row r="12" ht="20" customHeight="1">
      <c r="B12" s="76" t="inlineStr">
        <is>
          <t>DH</t>
        </is>
      </c>
      <c r="C12" s="6" t="inlineStr">
        <is>
          <t>DH 5</t>
        </is>
      </c>
      <c r="D12" s="72" t="n">
        <v>46273</v>
      </c>
      <c r="E12" s="72" t="n">
        <v>46286</v>
      </c>
      <c r="F12" s="75" t="inlineStr">
        <is>
          <t>Sala 2</t>
        </is>
      </c>
      <c r="G12" s="6" t="inlineStr">
        <is>
          <t>Cadência Seg-Sex — Cenário B (recomendado)</t>
        </is>
      </c>
    </row>
    <row r="13" ht="20" customHeight="1">
      <c r="B13" s="76" t="inlineStr">
        <is>
          <t>DH</t>
        </is>
      </c>
      <c r="C13" s="6" t="inlineStr">
        <is>
          <t>DH 6</t>
        </is>
      </c>
      <c r="D13" s="72" t="n">
        <v>46273</v>
      </c>
      <c r="E13" s="72" t="n">
        <v>46286</v>
      </c>
      <c r="F13" s="75" t="inlineStr">
        <is>
          <t>Sala 3</t>
        </is>
      </c>
      <c r="G13" s="6" t="inlineStr">
        <is>
          <t>Cadência Seg-Sex — Cenário B (recomendado)</t>
        </is>
      </c>
    </row>
    <row r="14" ht="20" customHeight="1">
      <c r="B14" s="78" t="inlineStr">
        <is>
          <t>OG</t>
        </is>
      </c>
      <c r="C14" s="6" t="inlineStr">
        <is>
          <t>OG 1</t>
        </is>
      </c>
      <c r="D14" s="72" t="n">
        <v>46276</v>
      </c>
      <c r="E14" s="72" t="n">
        <v>46279</v>
      </c>
      <c r="F14" s="75" t="inlineStr">
        <is>
          <t>Espaço OG 1 (dedicado, fora das 3 salas de DH)</t>
        </is>
      </c>
      <c r="G14" s="6" t="inlineStr">
        <is>
          <t>Predecessora: DH 1 — Premissa provisória</t>
        </is>
      </c>
    </row>
    <row r="15" ht="20" customHeight="1">
      <c r="B15" s="78" t="inlineStr">
        <is>
          <t>OG</t>
        </is>
      </c>
      <c r="C15" s="6" t="inlineStr">
        <is>
          <t>OG 2</t>
        </is>
      </c>
      <c r="D15" s="72" t="n">
        <v>46276</v>
      </c>
      <c r="E15" s="72" t="n">
        <v>46279</v>
      </c>
      <c r="F15" s="75" t="inlineStr">
        <is>
          <t>Espaço OG 2 (dedicado, fora das 3 salas de DH)</t>
        </is>
      </c>
      <c r="G15" s="6" t="inlineStr">
        <is>
          <t>Predecessora: DH 2 — Premissa provisória</t>
        </is>
      </c>
    </row>
    <row r="16" ht="20" customHeight="1">
      <c r="B16" s="78" t="inlineStr">
        <is>
          <t>OG</t>
        </is>
      </c>
      <c r="C16" s="6" t="inlineStr">
        <is>
          <t>OG 3</t>
        </is>
      </c>
      <c r="D16" s="72" t="n">
        <v>46276</v>
      </c>
      <c r="E16" s="72" t="n">
        <v>46279</v>
      </c>
      <c r="F16" s="75" t="inlineStr">
        <is>
          <t>Espaço OG 3 (dedicado, fora das 3 salas de DH)</t>
        </is>
      </c>
      <c r="G16" s="6" t="inlineStr">
        <is>
          <t>Predecessora: DH 3 — Premissa provisória</t>
        </is>
      </c>
    </row>
    <row r="17" ht="20" customHeight="1">
      <c r="B17" s="76" t="inlineStr">
        <is>
          <t>DH</t>
        </is>
      </c>
      <c r="C17" s="6" t="inlineStr">
        <is>
          <t>DH 7</t>
        </is>
      </c>
      <c r="D17" s="72" t="n">
        <v>46287</v>
      </c>
      <c r="E17" s="72" t="n">
        <v>46300</v>
      </c>
      <c r="F17" s="75" t="inlineStr">
        <is>
          <t>Sala 1</t>
        </is>
      </c>
      <c r="G17" s="6" t="inlineStr">
        <is>
          <t>Cadência Seg-Sex — Cenário B (recomendado)</t>
        </is>
      </c>
    </row>
    <row r="18" ht="20" customHeight="1">
      <c r="B18" s="76" t="inlineStr">
        <is>
          <t>DH</t>
        </is>
      </c>
      <c r="C18" s="6" t="inlineStr">
        <is>
          <t>DH 8</t>
        </is>
      </c>
      <c r="D18" s="72" t="n">
        <v>46287</v>
      </c>
      <c r="E18" s="72" t="n">
        <v>46300</v>
      </c>
      <c r="F18" s="75" t="inlineStr">
        <is>
          <t>Sala 2</t>
        </is>
      </c>
      <c r="G18" s="6" t="inlineStr">
        <is>
          <t>Cadência Seg-Sex — Cenário B (recomendado)</t>
        </is>
      </c>
    </row>
    <row r="19" ht="20" customHeight="1">
      <c r="B19" s="76" t="inlineStr">
        <is>
          <t>DH</t>
        </is>
      </c>
      <c r="C19" s="6" t="inlineStr">
        <is>
          <t>DH 9</t>
        </is>
      </c>
      <c r="D19" s="72" t="n">
        <v>46287</v>
      </c>
      <c r="E19" s="72" t="n">
        <v>46300</v>
      </c>
      <c r="F19" s="75" t="inlineStr">
        <is>
          <t>Sala 3</t>
        </is>
      </c>
      <c r="G19" s="6" t="inlineStr">
        <is>
          <t>Cadência Seg-Sex — Cenário B (recomendado)</t>
        </is>
      </c>
    </row>
    <row r="20" ht="20" customHeight="1">
      <c r="B20" s="78" t="inlineStr">
        <is>
          <t>OG</t>
        </is>
      </c>
      <c r="C20" s="6" t="inlineStr">
        <is>
          <t>OG 4</t>
        </is>
      </c>
      <c r="D20" s="72" t="n">
        <v>46293</v>
      </c>
      <c r="E20" s="72" t="n">
        <v>46294</v>
      </c>
      <c r="F20" s="75" t="inlineStr">
        <is>
          <t>Espaço OG 1 (dedicado, fora das 3 salas de DH)</t>
        </is>
      </c>
      <c r="G20" s="6" t="inlineStr">
        <is>
          <t>Predecessora: DH 4 — Premissa provisória</t>
        </is>
      </c>
    </row>
    <row r="21" ht="20" customHeight="1">
      <c r="B21" s="78" t="inlineStr">
        <is>
          <t>OG</t>
        </is>
      </c>
      <c r="C21" s="6" t="inlineStr">
        <is>
          <t>OG 5</t>
        </is>
      </c>
      <c r="D21" s="72" t="n">
        <v>46293</v>
      </c>
      <c r="E21" s="72" t="n">
        <v>46294</v>
      </c>
      <c r="F21" s="75" t="inlineStr">
        <is>
          <t>Espaço OG 2 (dedicado, fora das 3 salas de DH)</t>
        </is>
      </c>
      <c r="G21" s="6" t="inlineStr">
        <is>
          <t>Predecessora: DH 5 — Premissa provisória</t>
        </is>
      </c>
    </row>
    <row r="22" ht="20" customHeight="1">
      <c r="B22" s="78" t="inlineStr">
        <is>
          <t>OG</t>
        </is>
      </c>
      <c r="C22" s="6" t="inlineStr">
        <is>
          <t>OG 6</t>
        </is>
      </c>
      <c r="D22" s="72" t="n">
        <v>46293</v>
      </c>
      <c r="E22" s="72" t="n">
        <v>46294</v>
      </c>
      <c r="F22" s="75" t="inlineStr">
        <is>
          <t>Espaço OG 3 (dedicado, fora das 3 salas de DH)</t>
        </is>
      </c>
      <c r="G22" s="6" t="inlineStr">
        <is>
          <t>Predecessora: DH 6 — Premissa provisória</t>
        </is>
      </c>
    </row>
    <row r="23" ht="20" customHeight="1">
      <c r="B23" s="79" t="inlineStr">
        <is>
          <t>CT</t>
        </is>
      </c>
      <c r="C23" s="6" t="inlineStr">
        <is>
          <t>CT1a — Corte e Costura</t>
        </is>
      </c>
      <c r="D23" s="72" t="n">
        <v>46293</v>
      </c>
      <c r="E23" s="72" t="n">
        <v>46302</v>
      </c>
      <c r="F23" s="75" t="inlineStr">
        <is>
          <t>Fundo Social / SENAI</t>
        </is>
      </c>
      <c r="G23" s="6" t="inlineStr">
        <is>
          <t>32h, 8 encontros, noturno</t>
        </is>
      </c>
    </row>
    <row r="24" ht="20" customHeight="1">
      <c r="B24" s="79" t="inlineStr">
        <is>
          <t>CT</t>
        </is>
      </c>
      <c r="C24" s="6" t="inlineStr">
        <is>
          <t>CT7a — Eletrica</t>
        </is>
      </c>
      <c r="D24" s="72" t="n">
        <v>46293</v>
      </c>
      <c r="E24" s="72" t="n">
        <v>46321</v>
      </c>
      <c r="F24" s="75" t="inlineStr">
        <is>
          <t>SENAI Paulinia</t>
        </is>
      </c>
      <c r="G24" s="6" t="inlineStr">
        <is>
          <t>80h, 20 encontros, noturno</t>
        </is>
      </c>
    </row>
    <row r="25" ht="20" customHeight="1">
      <c r="B25" s="79" t="inlineStr">
        <is>
          <t>CT</t>
        </is>
      </c>
      <c r="C25" s="6" t="inlineStr">
        <is>
          <t>CT2 — Jardinagem</t>
        </is>
      </c>
      <c r="D25" s="72" t="n">
        <v>46293</v>
      </c>
      <c r="E25" s="72" t="n">
        <v>46304</v>
      </c>
      <c r="F25" s="75" t="inlineStr">
        <is>
          <t>? (fornecedor nao confirmado)</t>
        </is>
      </c>
      <c r="G25" s="6" t="inlineStr">
        <is>
          <t>40h, 10 encontros, noturno</t>
        </is>
      </c>
    </row>
    <row r="26" ht="20" customHeight="1">
      <c r="B26" s="76" t="inlineStr">
        <is>
          <t>DH</t>
        </is>
      </c>
      <c r="C26" s="6" t="inlineStr">
        <is>
          <t>DH 10</t>
        </is>
      </c>
      <c r="D26" s="72" t="n">
        <v>46301</v>
      </c>
      <c r="E26" s="72" t="n">
        <v>46315</v>
      </c>
      <c r="F26" s="75" t="inlineStr">
        <is>
          <t>Sala 1</t>
        </is>
      </c>
      <c r="G26" s="6" t="inlineStr">
        <is>
          <t>Cadência Seg-Sex — Cenário B (recomendado)</t>
        </is>
      </c>
    </row>
    <row r="27" ht="20" customHeight="1">
      <c r="B27" s="76" t="inlineStr">
        <is>
          <t>DH</t>
        </is>
      </c>
      <c r="C27" s="6" t="inlineStr">
        <is>
          <t>DH 11</t>
        </is>
      </c>
      <c r="D27" s="72" t="n">
        <v>46301</v>
      </c>
      <c r="E27" s="72" t="n">
        <v>46315</v>
      </c>
      <c r="F27" s="75" t="inlineStr">
        <is>
          <t>Sala 2</t>
        </is>
      </c>
      <c r="G27" s="6" t="inlineStr">
        <is>
          <t>Cadência Seg-Sex — Cenário B (recomendado)</t>
        </is>
      </c>
    </row>
    <row r="28" ht="20" customHeight="1">
      <c r="B28" s="76" t="inlineStr">
        <is>
          <t>DH</t>
        </is>
      </c>
      <c r="C28" s="6" t="inlineStr">
        <is>
          <t>DH 12</t>
        </is>
      </c>
      <c r="D28" s="72" t="n">
        <v>46301</v>
      </c>
      <c r="E28" s="72" t="n">
        <v>46315</v>
      </c>
      <c r="F28" s="75" t="inlineStr">
        <is>
          <t>Sala 3</t>
        </is>
      </c>
      <c r="G28" s="6" t="inlineStr">
        <is>
          <t>Cadência Seg-Sex — Cenário B (recomendado)</t>
        </is>
      </c>
    </row>
    <row r="29" ht="20" customHeight="1">
      <c r="B29" s="80" t="inlineStr">
        <is>
          <t>EAD</t>
        </is>
      </c>
      <c r="C29" s="6" t="inlineStr">
        <is>
          <t>Curso EAD — Planejamento, Marketing e Finanças</t>
        </is>
      </c>
      <c r="D29" s="72" t="n">
        <v>46303</v>
      </c>
      <c r="E29" s="72" t="n">
        <v>46308</v>
      </c>
      <c r="F29" s="75" t="inlineStr">
        <is>
          <t>Plataforma online</t>
        </is>
      </c>
      <c r="G29" s="6" t="inlineStr">
        <is>
          <t>6h / 3 módulos, autoinstrucional</t>
        </is>
      </c>
    </row>
    <row r="30" ht="20" customHeight="1">
      <c r="B30" s="77" t="inlineStr">
        <is>
          <t>REC</t>
        </is>
      </c>
      <c r="C30" s="6" t="inlineStr">
        <is>
          <t>Feriado: Nossa Senhora Aparecida</t>
        </is>
      </c>
      <c r="D30" s="72" t="n">
        <v>46307</v>
      </c>
      <c r="E30" s="72" t="n">
        <v>46307</v>
      </c>
      <c r="F30" s="75" t="inlineStr">
        <is>
          <t>—</t>
        </is>
      </c>
      <c r="G30" s="6" t="inlineStr">
        <is>
          <t>Confirmada (calendário municipal)</t>
        </is>
      </c>
    </row>
    <row r="31" ht="20" customHeight="1">
      <c r="B31" s="78" t="inlineStr">
        <is>
          <t>OG</t>
        </is>
      </c>
      <c r="C31" s="6" t="inlineStr">
        <is>
          <t>OG 7</t>
        </is>
      </c>
      <c r="D31" s="72" t="n">
        <v>46308</v>
      </c>
      <c r="E31" s="72" t="n">
        <v>46309</v>
      </c>
      <c r="F31" s="75" t="inlineStr">
        <is>
          <t>Espaço OG 1 (dedicado, fora das 3 salas de DH)</t>
        </is>
      </c>
      <c r="G31" s="6" t="inlineStr">
        <is>
          <t>Predecessora: DH 7 — Premissa provisória</t>
        </is>
      </c>
    </row>
    <row r="32" ht="20" customHeight="1">
      <c r="B32" s="78" t="inlineStr">
        <is>
          <t>OG</t>
        </is>
      </c>
      <c r="C32" s="6" t="inlineStr">
        <is>
          <t>OG 8</t>
        </is>
      </c>
      <c r="D32" s="72" t="n">
        <v>46308</v>
      </c>
      <c r="E32" s="72" t="n">
        <v>46309</v>
      </c>
      <c r="F32" s="75" t="inlineStr">
        <is>
          <t>Espaço OG 2 (dedicado, fora das 3 salas de DH)</t>
        </is>
      </c>
      <c r="G32" s="6" t="inlineStr">
        <is>
          <t>Predecessora: DH 8 — Premissa provisória</t>
        </is>
      </c>
    </row>
    <row r="33" ht="20" customHeight="1">
      <c r="B33" s="78" t="inlineStr">
        <is>
          <t>OG</t>
        </is>
      </c>
      <c r="C33" s="6" t="inlineStr">
        <is>
          <t>OG 9</t>
        </is>
      </c>
      <c r="D33" s="72" t="n">
        <v>46308</v>
      </c>
      <c r="E33" s="72" t="n">
        <v>46309</v>
      </c>
      <c r="F33" s="75" t="inlineStr">
        <is>
          <t>Espaço OG 3 (dedicado, fora das 3 salas de DH)</t>
        </is>
      </c>
      <c r="G33" s="6" t="inlineStr">
        <is>
          <t>Predecessora: DH 9 — Premissa provisória</t>
        </is>
      </c>
    </row>
    <row r="34" ht="20" customHeight="1">
      <c r="B34" s="79" t="inlineStr">
        <is>
          <t>CT</t>
        </is>
      </c>
      <c r="C34" s="6" t="inlineStr">
        <is>
          <t>CT1b — Corte e Costura</t>
        </is>
      </c>
      <c r="D34" s="72" t="n">
        <v>46308</v>
      </c>
      <c r="E34" s="72" t="n">
        <v>46317</v>
      </c>
      <c r="F34" s="75" t="inlineStr">
        <is>
          <t>Fundo Social / SENAI</t>
        </is>
      </c>
      <c r="G34" s="6" t="inlineStr">
        <is>
          <t>32h, 8 encontros, noturno</t>
        </is>
      </c>
    </row>
    <row r="35" ht="20" customHeight="1">
      <c r="B35" s="81" t="inlineStr">
        <is>
          <t>CI</t>
        </is>
      </c>
      <c r="C35" s="6" t="inlineStr">
        <is>
          <t>Consultoria Individual (rolling)</t>
        </is>
      </c>
      <c r="D35" s="72" t="n">
        <v>46309</v>
      </c>
      <c r="E35" s="72" t="n">
        <v>46452</v>
      </c>
      <c r="F35" s="75" t="inlineStr">
        <is>
          <t>Presencial/Online</t>
        </is>
      </c>
      <c r="G35" s="6" t="inlineStr">
        <is>
          <t>Meta 150 pessoas, 3 atendimentos/pessoa</t>
        </is>
      </c>
    </row>
    <row r="36" ht="20" customHeight="1">
      <c r="B36" s="76" t="inlineStr">
        <is>
          <t>DH</t>
        </is>
      </c>
      <c r="C36" s="6" t="inlineStr">
        <is>
          <t>DH 13</t>
        </is>
      </c>
      <c r="D36" s="72" t="n">
        <v>46316</v>
      </c>
      <c r="E36" s="72" t="n">
        <v>46330</v>
      </c>
      <c r="F36" s="75" t="inlineStr">
        <is>
          <t>Sala 1</t>
        </is>
      </c>
      <c r="G36" s="6" t="inlineStr">
        <is>
          <t>Cadência Seg-Sex — Cenário B (recomendado)</t>
        </is>
      </c>
    </row>
    <row r="37" ht="20" customHeight="1">
      <c r="B37" s="76" t="inlineStr">
        <is>
          <t>DH</t>
        </is>
      </c>
      <c r="C37" s="6" t="inlineStr">
        <is>
          <t>DH 14</t>
        </is>
      </c>
      <c r="D37" s="72" t="n">
        <v>46316</v>
      </c>
      <c r="E37" s="72" t="n">
        <v>46330</v>
      </c>
      <c r="F37" s="75" t="inlineStr">
        <is>
          <t>Sala 2</t>
        </is>
      </c>
      <c r="G37" s="6" t="inlineStr">
        <is>
          <t>Cadência Seg-Sex — Cenário B (recomendado)</t>
        </is>
      </c>
    </row>
    <row r="38" ht="20" customHeight="1">
      <c r="B38" s="76" t="inlineStr">
        <is>
          <t>DH</t>
        </is>
      </c>
      <c r="C38" s="6" t="inlineStr">
        <is>
          <t>DH 15</t>
        </is>
      </c>
      <c r="D38" s="72" t="n">
        <v>46316</v>
      </c>
      <c r="E38" s="72" t="n">
        <v>46330</v>
      </c>
      <c r="F38" s="75" t="inlineStr">
        <is>
          <t>Sala 3</t>
        </is>
      </c>
      <c r="G38" s="6" t="inlineStr">
        <is>
          <t>Cadência Seg-Sex — Cenário B (recomendado)</t>
        </is>
      </c>
    </row>
    <row r="39" ht="20" customHeight="1">
      <c r="B39" s="79" t="inlineStr">
        <is>
          <t>CT</t>
        </is>
      </c>
      <c r="C39" s="6" t="inlineStr">
        <is>
          <t>CT3 — Beleza / Unhas</t>
        </is>
      </c>
      <c r="D39" s="72" t="n">
        <v>46321</v>
      </c>
      <c r="E39" s="72" t="n">
        <v>46335</v>
      </c>
      <c r="F39" s="75" t="inlineStr">
        <is>
          <t>Fundo Social / SENAC</t>
        </is>
      </c>
      <c r="G39" s="6" t="inlineStr">
        <is>
          <t>40h, 10 encontros, noturno</t>
        </is>
      </c>
    </row>
    <row r="40" ht="20" customHeight="1">
      <c r="B40" s="78" t="inlineStr">
        <is>
          <t>OG</t>
        </is>
      </c>
      <c r="C40" s="6" t="inlineStr">
        <is>
          <t>OG 10</t>
        </is>
      </c>
      <c r="D40" s="72" t="n">
        <v>46322</v>
      </c>
      <c r="E40" s="72" t="n">
        <v>46323</v>
      </c>
      <c r="F40" s="75" t="inlineStr">
        <is>
          <t>Espaço OG 1 (dedicado, fora das 3 salas de DH)</t>
        </is>
      </c>
      <c r="G40" s="6" t="inlineStr">
        <is>
          <t>Predecessora: DH 10 — Premissa provisória</t>
        </is>
      </c>
    </row>
    <row r="41" ht="20" customHeight="1">
      <c r="B41" s="78" t="inlineStr">
        <is>
          <t>OG</t>
        </is>
      </c>
      <c r="C41" s="6" t="inlineStr">
        <is>
          <t>OG 11</t>
        </is>
      </c>
      <c r="D41" s="72" t="n">
        <v>46322</v>
      </c>
      <c r="E41" s="72" t="n">
        <v>46323</v>
      </c>
      <c r="F41" s="75" t="inlineStr">
        <is>
          <t>Espaço OG 2 (dedicado, fora das 3 salas de DH)</t>
        </is>
      </c>
      <c r="G41" s="6" t="inlineStr">
        <is>
          <t>Predecessora: DH 11 — Premissa provisória</t>
        </is>
      </c>
    </row>
    <row r="42" ht="20" customHeight="1">
      <c r="B42" s="78" t="inlineStr">
        <is>
          <t>OG</t>
        </is>
      </c>
      <c r="C42" s="6" t="inlineStr">
        <is>
          <t>OG 12</t>
        </is>
      </c>
      <c r="D42" s="72" t="n">
        <v>46322</v>
      </c>
      <c r="E42" s="72" t="n">
        <v>46323</v>
      </c>
      <c r="F42" s="75" t="inlineStr">
        <is>
          <t>Espaço OG 3 (dedicado, fora das 3 salas de DH)</t>
        </is>
      </c>
      <c r="G42" s="6" t="inlineStr">
        <is>
          <t>Predecessora: DH 12 — Premissa provisória</t>
        </is>
      </c>
    </row>
    <row r="43" ht="20" customHeight="1">
      <c r="B43" s="79" t="inlineStr">
        <is>
          <t>CT</t>
        </is>
      </c>
      <c r="C43" s="6" t="inlineStr">
        <is>
          <t>CT7b — Eletrica</t>
        </is>
      </c>
      <c r="D43" s="72" t="n">
        <v>46324</v>
      </c>
      <c r="E43" s="72" t="n">
        <v>46353</v>
      </c>
      <c r="F43" s="75" t="inlineStr">
        <is>
          <t>SENAI Paulinia</t>
        </is>
      </c>
      <c r="G43" s="6" t="inlineStr">
        <is>
          <t>80h, 20 encontros, noturno</t>
        </is>
      </c>
    </row>
    <row r="44" ht="20" customHeight="1">
      <c r="B44" s="77" t="inlineStr">
        <is>
          <t>REC</t>
        </is>
      </c>
      <c r="C44" s="6" t="inlineStr">
        <is>
          <t>Feriado: Finados</t>
        </is>
      </c>
      <c r="D44" s="72" t="n">
        <v>46328</v>
      </c>
      <c r="E44" s="72" t="n">
        <v>46328</v>
      </c>
      <c r="F44" s="75" t="inlineStr">
        <is>
          <t>—</t>
        </is>
      </c>
      <c r="G44" s="6" t="inlineStr">
        <is>
          <t>Confirmada (calendário municipal)</t>
        </is>
      </c>
    </row>
    <row r="45" ht="20" customHeight="1">
      <c r="B45" s="78" t="inlineStr">
        <is>
          <t>OG</t>
        </is>
      </c>
      <c r="C45" s="6" t="inlineStr">
        <is>
          <t>OG 13</t>
        </is>
      </c>
      <c r="D45" s="72" t="n">
        <v>46337</v>
      </c>
      <c r="E45" s="72" t="n">
        <v>46338</v>
      </c>
      <c r="F45" s="75" t="inlineStr">
        <is>
          <t>Espaço OG 1 (dedicado, fora das 3 salas de DH)</t>
        </is>
      </c>
      <c r="G45" s="6" t="inlineStr">
        <is>
          <t>Predecessora: DH 13 — Premissa provisória</t>
        </is>
      </c>
    </row>
    <row r="46" ht="20" customHeight="1">
      <c r="B46" s="78" t="inlineStr">
        <is>
          <t>OG</t>
        </is>
      </c>
      <c r="C46" s="6" t="inlineStr">
        <is>
          <t>OG 14</t>
        </is>
      </c>
      <c r="D46" s="72" t="n">
        <v>46337</v>
      </c>
      <c r="E46" s="72" t="n">
        <v>46338</v>
      </c>
      <c r="F46" s="75" t="inlineStr">
        <is>
          <t>Espaço OG 2 (dedicado, fora das 3 salas de DH)</t>
        </is>
      </c>
      <c r="G46" s="6" t="inlineStr">
        <is>
          <t>Predecessora: DH 14 — Premissa provisória</t>
        </is>
      </c>
    </row>
    <row r="47" ht="20" customHeight="1">
      <c r="B47" s="78" t="inlineStr">
        <is>
          <t>OG</t>
        </is>
      </c>
      <c r="C47" s="6" t="inlineStr">
        <is>
          <t>OG 15</t>
        </is>
      </c>
      <c r="D47" s="72" t="n">
        <v>46337</v>
      </c>
      <c r="E47" s="72" t="n">
        <v>46338</v>
      </c>
      <c r="F47" s="75" t="inlineStr">
        <is>
          <t>Espaço OG 3 (dedicado, fora das 3 salas de DH)</t>
        </is>
      </c>
      <c r="G47" s="6" t="inlineStr">
        <is>
          <t>Predecessora: DH 15 — Premissa provisória</t>
        </is>
      </c>
    </row>
    <row r="48" ht="20" customHeight="1">
      <c r="B48" s="79" t="inlineStr">
        <is>
          <t>CT</t>
        </is>
      </c>
      <c r="C48" s="6" t="inlineStr">
        <is>
          <t>CT5 — Beleza / Cabelos Cacheados e Crespos</t>
        </is>
      </c>
      <c r="D48" s="72" t="n">
        <v>46338</v>
      </c>
      <c r="E48" s="72" t="n">
        <v>46358</v>
      </c>
      <c r="F48" s="75" t="inlineStr">
        <is>
          <t>Fundo Social / SENAC</t>
        </is>
      </c>
      <c r="G48" s="6" t="inlineStr">
        <is>
          <t>56h, 14 encontros, noturno</t>
        </is>
      </c>
    </row>
    <row r="49" ht="20" customHeight="1">
      <c r="B49" s="77" t="inlineStr">
        <is>
          <t>REC</t>
        </is>
      </c>
      <c r="C49" s="6" t="inlineStr">
        <is>
          <t>Feriado: Consciencia Negra</t>
        </is>
      </c>
      <c r="D49" s="72" t="n">
        <v>46346</v>
      </c>
      <c r="E49" s="72" t="n">
        <v>46346</v>
      </c>
      <c r="F49" s="75" t="inlineStr">
        <is>
          <t>—</t>
        </is>
      </c>
      <c r="G49" s="6" t="inlineStr">
        <is>
          <t>Confirmada (calendário municipal)</t>
        </is>
      </c>
    </row>
    <row r="50" ht="20" customHeight="1">
      <c r="B50" s="79" t="inlineStr">
        <is>
          <t>CT</t>
        </is>
      </c>
      <c r="C50" s="6" t="inlineStr">
        <is>
          <t>CT6 — Automacao</t>
        </is>
      </c>
      <c r="D50" s="72" t="n">
        <v>46356</v>
      </c>
      <c r="E50" s="72" t="n">
        <v>46402</v>
      </c>
      <c r="F50" s="75" t="inlineStr">
        <is>
          <t>SENAI Paulinia</t>
        </is>
      </c>
      <c r="G50" s="6" t="inlineStr">
        <is>
          <t>80h, 20 encontros, noturno</t>
        </is>
      </c>
    </row>
    <row r="51" ht="20" customHeight="1">
      <c r="B51" s="79" t="inlineStr">
        <is>
          <t>CT</t>
        </is>
      </c>
      <c r="C51" s="6" t="inlineStr">
        <is>
          <t>CT4a — Preparacao de Alimentos</t>
        </is>
      </c>
      <c r="D51" s="72" t="n">
        <v>46363</v>
      </c>
      <c r="E51" s="72" t="n">
        <v>46401</v>
      </c>
      <c r="F51" s="75" t="inlineStr">
        <is>
          <t>Fundo Social / SENAC</t>
        </is>
      </c>
      <c r="G51" s="6" t="inlineStr">
        <is>
          <t>56h, 14 encontros, noturno</t>
        </is>
      </c>
    </row>
    <row r="52" ht="20" customHeight="1">
      <c r="B52" s="77" t="inlineStr">
        <is>
          <t>REC</t>
        </is>
      </c>
      <c r="C52" s="6" t="inlineStr">
        <is>
          <t>Recesso institucional</t>
        </is>
      </c>
      <c r="D52" s="72" t="n">
        <v>46377</v>
      </c>
      <c r="E52" s="72" t="n">
        <v>46395</v>
      </c>
      <c r="F52" s="75" t="inlineStr">
        <is>
          <t>—</t>
        </is>
      </c>
      <c r="G52" s="6" t="inlineStr">
        <is>
          <t>Informação pendente de validação</t>
        </is>
      </c>
    </row>
    <row r="53" ht="20" customHeight="1">
      <c r="B53" s="77" t="inlineStr">
        <is>
          <t>REC</t>
        </is>
      </c>
      <c r="C53" s="6" t="inlineStr">
        <is>
          <t>Feriado: Natal</t>
        </is>
      </c>
      <c r="D53" s="72" t="n">
        <v>46381</v>
      </c>
      <c r="E53" s="72" t="n">
        <v>46381</v>
      </c>
      <c r="F53" s="75" t="inlineStr">
        <is>
          <t>—</t>
        </is>
      </c>
      <c r="G53" s="6" t="inlineStr">
        <is>
          <t>Confirmada (calendário municipal)</t>
        </is>
      </c>
    </row>
    <row r="54" ht="20" customHeight="1">
      <c r="B54" s="77" t="inlineStr">
        <is>
          <t>REC</t>
        </is>
      </c>
      <c r="C54" s="6" t="inlineStr">
        <is>
          <t>Feriado: Confraternizacao Universal</t>
        </is>
      </c>
      <c r="D54" s="72" t="n">
        <v>46388</v>
      </c>
      <c r="E54" s="72" t="n">
        <v>46388</v>
      </c>
      <c r="F54" s="75" t="inlineStr">
        <is>
          <t>—</t>
        </is>
      </c>
      <c r="G54" s="6" t="inlineStr">
        <is>
          <t>Confirmada (calendário municipal)</t>
        </is>
      </c>
    </row>
    <row r="55" ht="20" customHeight="1">
      <c r="B55" s="79" t="inlineStr">
        <is>
          <t>CT</t>
        </is>
      </c>
      <c r="C55" s="6" t="inlineStr">
        <is>
          <t>CT4b — Preparacao de Alimentos</t>
        </is>
      </c>
      <c r="D55" s="72" t="n">
        <v>46405</v>
      </c>
      <c r="E55" s="72" t="n">
        <v>46422</v>
      </c>
      <c r="F55" s="75" t="inlineStr">
        <is>
          <t>Fundo Social / SENAC</t>
        </is>
      </c>
      <c r="G55" s="6" t="inlineStr">
        <is>
          <t>56h, 14 encontros, noturno</t>
        </is>
      </c>
    </row>
    <row r="57">
      <c r="B57" s="3" t="inlineStr">
        <is>
          <t>LEGENDA</t>
        </is>
      </c>
    </row>
    <row r="58">
      <c r="B58" s="36" t="inlineStr"/>
      <c r="C58" s="37" t="inlineStr">
        <is>
          <t>PS - Palestra de Sensibilização</t>
        </is>
      </c>
    </row>
    <row r="59">
      <c r="B59" s="38" t="inlineStr"/>
      <c r="C59" s="37" t="inlineStr">
        <is>
          <t>DH - Desenvolvimento Humano</t>
        </is>
      </c>
    </row>
    <row r="60">
      <c r="B60" s="39" t="inlineStr"/>
      <c r="C60" s="37" t="inlineStr">
        <is>
          <t>OG - Oficina de Gestão</t>
        </is>
      </c>
    </row>
    <row r="61">
      <c r="B61" s="40" t="inlineStr"/>
      <c r="C61" s="37" t="inlineStr">
        <is>
          <t>CT - Curso Técnico</t>
        </is>
      </c>
    </row>
    <row r="62">
      <c r="B62" s="41" t="inlineStr"/>
      <c r="C62" s="37" t="inlineStr">
        <is>
          <t>EAD - Curso Online</t>
        </is>
      </c>
    </row>
    <row r="63">
      <c r="B63" s="42" t="inlineStr"/>
      <c r="C63" s="37" t="inlineStr">
        <is>
          <t>CI - Consultoria Individual</t>
        </is>
      </c>
    </row>
    <row r="64">
      <c r="B64" s="43" t="inlineStr"/>
      <c r="C64" s="37" t="inlineStr">
        <is>
          <t>REC - Recesso / feriado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395"/>
    <outlinePr summaryBelow="1" summaryRight="1"/>
    <pageSetUpPr/>
  </sheetPr>
  <dimension ref="B2:I4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30" customWidth="1" min="8" max="8"/>
    <col width="3" customWidth="1" min="9" max="9"/>
  </cols>
  <sheetData>
    <row r="2" ht="28" customHeight="1">
      <c r="B2" s="1" t="inlineStr">
        <is>
          <t>AGENDA POR SALA — SEM SOBREPOSIÇÃO CONFIRMADA</t>
        </is>
      </c>
    </row>
    <row r="3">
      <c r="B3" s="2" t="inlineStr">
        <is>
          <t>Cenário B (recomendado): 3 salas internas (DH + OG) — cursos técnicos ocorrem em fornecedores externos (ver tabela abaixo)</t>
        </is>
      </c>
    </row>
    <row r="5">
      <c r="B5" s="49" t="inlineStr">
        <is>
          <t>SALAS INTERNAS — DESENVOLVIMENTO HUMANO E OFICINA DE GESTÃO</t>
        </is>
      </c>
    </row>
    <row r="6" ht="30" customHeight="1">
      <c r="B6" s="18" t="inlineStr">
        <is>
          <t>Sala</t>
        </is>
      </c>
      <c r="C6" s="18" t="inlineStr">
        <is>
          <t>Turma</t>
        </is>
      </c>
      <c r="D6" s="18" t="inlineStr">
        <is>
          <t>Tipo</t>
        </is>
      </c>
      <c r="E6" s="18" t="inlineStr">
        <is>
          <t>Início</t>
        </is>
      </c>
      <c r="F6" s="18" t="inlineStr">
        <is>
          <t>Término</t>
        </is>
      </c>
      <c r="G6" s="18" t="inlineStr">
        <is>
          <t>Cadência</t>
        </is>
      </c>
      <c r="H6" s="18" t="inlineStr">
        <is>
          <t>Conflito de horário?</t>
        </is>
      </c>
      <c r="I6" s="18" t="inlineStr">
        <is>
          <t>Observação</t>
        </is>
      </c>
    </row>
    <row r="7" ht="18" customHeight="1">
      <c r="B7" s="82" t="inlineStr">
        <is>
          <t>Espaço OG 1 (dedicado, fora das 3 salas de DH)</t>
        </is>
      </c>
      <c r="C7" s="17" t="inlineStr">
        <is>
          <t>OG 1</t>
        </is>
      </c>
      <c r="D7" s="83" t="inlineStr">
        <is>
          <t>OG</t>
        </is>
      </c>
      <c r="E7" s="72" t="n">
        <v>46276</v>
      </c>
      <c r="F7" s="72" t="n">
        <v>46279</v>
      </c>
      <c r="G7" s="17" t="inlineStr">
        <is>
          <t>Seg-Sex (2 encontros)</t>
        </is>
      </c>
      <c r="H7" s="57" t="inlineStr">
        <is>
          <t>Não (verificado por dia da semana)</t>
        </is>
      </c>
    </row>
    <row r="8" ht="18" customHeight="1">
      <c r="B8" s="82" t="inlineStr">
        <is>
          <t>Espaço OG 1 (dedicado, fora das 3 salas de DH)</t>
        </is>
      </c>
      <c r="C8" s="17" t="inlineStr">
        <is>
          <t>OG 4</t>
        </is>
      </c>
      <c r="D8" s="83" t="inlineStr">
        <is>
          <t>OG</t>
        </is>
      </c>
      <c r="E8" s="72" t="n">
        <v>46293</v>
      </c>
      <c r="F8" s="72" t="n">
        <v>46294</v>
      </c>
      <c r="G8" s="17" t="inlineStr">
        <is>
          <t>Seg-Sex (2 encontros)</t>
        </is>
      </c>
      <c r="H8" s="57" t="inlineStr">
        <is>
          <t>Não (verificado por dia da semana)</t>
        </is>
      </c>
    </row>
    <row r="9" ht="18" customHeight="1">
      <c r="B9" s="82" t="inlineStr">
        <is>
          <t>Espaço OG 1 (dedicado, fora das 3 salas de DH)</t>
        </is>
      </c>
      <c r="C9" s="17" t="inlineStr">
        <is>
          <t>OG 7</t>
        </is>
      </c>
      <c r="D9" s="83" t="inlineStr">
        <is>
          <t>OG</t>
        </is>
      </c>
      <c r="E9" s="72" t="n">
        <v>46308</v>
      </c>
      <c r="F9" s="72" t="n">
        <v>46309</v>
      </c>
      <c r="G9" s="17" t="inlineStr">
        <is>
          <t>Seg-Sex (2 encontros)</t>
        </is>
      </c>
      <c r="H9" s="57" t="inlineStr">
        <is>
          <t>Não (verificado por dia da semana)</t>
        </is>
      </c>
    </row>
    <row r="10" ht="18" customHeight="1">
      <c r="B10" s="82" t="inlineStr">
        <is>
          <t>Espaço OG 1 (dedicado, fora das 3 salas de DH)</t>
        </is>
      </c>
      <c r="C10" s="17" t="inlineStr">
        <is>
          <t>OG 10</t>
        </is>
      </c>
      <c r="D10" s="83" t="inlineStr">
        <is>
          <t>OG</t>
        </is>
      </c>
      <c r="E10" s="72" t="n">
        <v>46322</v>
      </c>
      <c r="F10" s="72" t="n">
        <v>46323</v>
      </c>
      <c r="G10" s="17" t="inlineStr">
        <is>
          <t>Seg-Sex (2 encontros)</t>
        </is>
      </c>
      <c r="H10" s="57" t="inlineStr">
        <is>
          <t>Não (verificado por dia da semana)</t>
        </is>
      </c>
    </row>
    <row r="11" ht="18" customHeight="1">
      <c r="B11" s="82" t="inlineStr">
        <is>
          <t>Espaço OG 1 (dedicado, fora das 3 salas de DH)</t>
        </is>
      </c>
      <c r="C11" s="17" t="inlineStr">
        <is>
          <t>OG 13</t>
        </is>
      </c>
      <c r="D11" s="83" t="inlineStr">
        <is>
          <t>OG</t>
        </is>
      </c>
      <c r="E11" s="72" t="n">
        <v>46337</v>
      </c>
      <c r="F11" s="72" t="n">
        <v>46338</v>
      </c>
      <c r="G11" s="17" t="inlineStr">
        <is>
          <t>Seg-Sex (2 encontros)</t>
        </is>
      </c>
      <c r="H11" s="57" t="inlineStr">
        <is>
          <t>Não (verificado por dia da semana)</t>
        </is>
      </c>
    </row>
    <row r="12" ht="18" customHeight="1">
      <c r="B12" s="82" t="inlineStr">
        <is>
          <t>Espaço OG 2 (dedicado, fora das 3 salas de DH)</t>
        </is>
      </c>
      <c r="C12" s="17" t="inlineStr">
        <is>
          <t>OG 2</t>
        </is>
      </c>
      <c r="D12" s="83" t="inlineStr">
        <is>
          <t>OG</t>
        </is>
      </c>
      <c r="E12" s="72" t="n">
        <v>46276</v>
      </c>
      <c r="F12" s="72" t="n">
        <v>46279</v>
      </c>
      <c r="G12" s="17" t="inlineStr">
        <is>
          <t>Seg-Sex (2 encontros)</t>
        </is>
      </c>
      <c r="H12" s="57" t="inlineStr">
        <is>
          <t>Não (verificado por dia da semana)</t>
        </is>
      </c>
    </row>
    <row r="13" ht="18" customHeight="1">
      <c r="B13" s="82" t="inlineStr">
        <is>
          <t>Espaço OG 2 (dedicado, fora das 3 salas de DH)</t>
        </is>
      </c>
      <c r="C13" s="17" t="inlineStr">
        <is>
          <t>OG 5</t>
        </is>
      </c>
      <c r="D13" s="83" t="inlineStr">
        <is>
          <t>OG</t>
        </is>
      </c>
      <c r="E13" s="72" t="n">
        <v>46293</v>
      </c>
      <c r="F13" s="72" t="n">
        <v>46294</v>
      </c>
      <c r="G13" s="17" t="inlineStr">
        <is>
          <t>Seg-Sex (2 encontros)</t>
        </is>
      </c>
      <c r="H13" s="57" t="inlineStr">
        <is>
          <t>Não (verificado por dia da semana)</t>
        </is>
      </c>
    </row>
    <row r="14" ht="18" customHeight="1">
      <c r="B14" s="82" t="inlineStr">
        <is>
          <t>Espaço OG 2 (dedicado, fora das 3 salas de DH)</t>
        </is>
      </c>
      <c r="C14" s="17" t="inlineStr">
        <is>
          <t>OG 8</t>
        </is>
      </c>
      <c r="D14" s="83" t="inlineStr">
        <is>
          <t>OG</t>
        </is>
      </c>
      <c r="E14" s="72" t="n">
        <v>46308</v>
      </c>
      <c r="F14" s="72" t="n">
        <v>46309</v>
      </c>
      <c r="G14" s="17" t="inlineStr">
        <is>
          <t>Seg-Sex (2 encontros)</t>
        </is>
      </c>
      <c r="H14" s="57" t="inlineStr">
        <is>
          <t>Não (verificado por dia da semana)</t>
        </is>
      </c>
    </row>
    <row r="15" ht="18" customHeight="1">
      <c r="B15" s="82" t="inlineStr">
        <is>
          <t>Espaço OG 2 (dedicado, fora das 3 salas de DH)</t>
        </is>
      </c>
      <c r="C15" s="17" t="inlineStr">
        <is>
          <t>OG 11</t>
        </is>
      </c>
      <c r="D15" s="83" t="inlineStr">
        <is>
          <t>OG</t>
        </is>
      </c>
      <c r="E15" s="72" t="n">
        <v>46322</v>
      </c>
      <c r="F15" s="72" t="n">
        <v>46323</v>
      </c>
      <c r="G15" s="17" t="inlineStr">
        <is>
          <t>Seg-Sex (2 encontros)</t>
        </is>
      </c>
      <c r="H15" s="57" t="inlineStr">
        <is>
          <t>Não (verificado por dia da semana)</t>
        </is>
      </c>
    </row>
    <row r="16" ht="18" customHeight="1">
      <c r="B16" s="82" t="inlineStr">
        <is>
          <t>Espaço OG 2 (dedicado, fora das 3 salas de DH)</t>
        </is>
      </c>
      <c r="C16" s="17" t="inlineStr">
        <is>
          <t>OG 14</t>
        </is>
      </c>
      <c r="D16" s="83" t="inlineStr">
        <is>
          <t>OG</t>
        </is>
      </c>
      <c r="E16" s="72" t="n">
        <v>46337</v>
      </c>
      <c r="F16" s="72" t="n">
        <v>46338</v>
      </c>
      <c r="G16" s="17" t="inlineStr">
        <is>
          <t>Seg-Sex (2 encontros)</t>
        </is>
      </c>
      <c r="H16" s="57" t="inlineStr">
        <is>
          <t>Não (verificado por dia da semana)</t>
        </is>
      </c>
    </row>
    <row r="17" ht="18" customHeight="1">
      <c r="B17" s="82" t="inlineStr">
        <is>
          <t>Espaço OG 3 (dedicado, fora das 3 salas de DH)</t>
        </is>
      </c>
      <c r="C17" s="17" t="inlineStr">
        <is>
          <t>OG 3</t>
        </is>
      </c>
      <c r="D17" s="83" t="inlineStr">
        <is>
          <t>OG</t>
        </is>
      </c>
      <c r="E17" s="72" t="n">
        <v>46276</v>
      </c>
      <c r="F17" s="72" t="n">
        <v>46279</v>
      </c>
      <c r="G17" s="17" t="inlineStr">
        <is>
          <t>Seg-Sex (2 encontros)</t>
        </is>
      </c>
      <c r="H17" s="57" t="inlineStr">
        <is>
          <t>Não (verificado por dia da semana)</t>
        </is>
      </c>
    </row>
    <row r="18" ht="18" customHeight="1">
      <c r="B18" s="82" t="inlineStr">
        <is>
          <t>Espaço OG 3 (dedicado, fora das 3 salas de DH)</t>
        </is>
      </c>
      <c r="C18" s="17" t="inlineStr">
        <is>
          <t>OG 6</t>
        </is>
      </c>
      <c r="D18" s="83" t="inlineStr">
        <is>
          <t>OG</t>
        </is>
      </c>
      <c r="E18" s="72" t="n">
        <v>46293</v>
      </c>
      <c r="F18" s="72" t="n">
        <v>46294</v>
      </c>
      <c r="G18" s="17" t="inlineStr">
        <is>
          <t>Seg-Sex (2 encontros)</t>
        </is>
      </c>
      <c r="H18" s="57" t="inlineStr">
        <is>
          <t>Não (verificado por dia da semana)</t>
        </is>
      </c>
    </row>
    <row r="19" ht="18" customHeight="1">
      <c r="B19" s="82" t="inlineStr">
        <is>
          <t>Espaço OG 3 (dedicado, fora das 3 salas de DH)</t>
        </is>
      </c>
      <c r="C19" s="17" t="inlineStr">
        <is>
          <t>OG 9</t>
        </is>
      </c>
      <c r="D19" s="83" t="inlineStr">
        <is>
          <t>OG</t>
        </is>
      </c>
      <c r="E19" s="72" t="n">
        <v>46308</v>
      </c>
      <c r="F19" s="72" t="n">
        <v>46309</v>
      </c>
      <c r="G19" s="17" t="inlineStr">
        <is>
          <t>Seg-Sex (2 encontros)</t>
        </is>
      </c>
      <c r="H19" s="57" t="inlineStr">
        <is>
          <t>Não (verificado por dia da semana)</t>
        </is>
      </c>
    </row>
    <row r="20" ht="18" customHeight="1">
      <c r="B20" s="82" t="inlineStr">
        <is>
          <t>Espaço OG 3 (dedicado, fora das 3 salas de DH)</t>
        </is>
      </c>
      <c r="C20" s="17" t="inlineStr">
        <is>
          <t>OG 12</t>
        </is>
      </c>
      <c r="D20" s="83" t="inlineStr">
        <is>
          <t>OG</t>
        </is>
      </c>
      <c r="E20" s="72" t="n">
        <v>46322</v>
      </c>
      <c r="F20" s="72" t="n">
        <v>46323</v>
      </c>
      <c r="G20" s="17" t="inlineStr">
        <is>
          <t>Seg-Sex (2 encontros)</t>
        </is>
      </c>
      <c r="H20" s="57" t="inlineStr">
        <is>
          <t>Não (verificado por dia da semana)</t>
        </is>
      </c>
    </row>
    <row r="21" ht="18" customHeight="1">
      <c r="B21" s="82" t="inlineStr">
        <is>
          <t>Espaço OG 3 (dedicado, fora das 3 salas de DH)</t>
        </is>
      </c>
      <c r="C21" s="17" t="inlineStr">
        <is>
          <t>OG 15</t>
        </is>
      </c>
      <c r="D21" s="83" t="inlineStr">
        <is>
          <t>OG</t>
        </is>
      </c>
      <c r="E21" s="72" t="n">
        <v>46337</v>
      </c>
      <c r="F21" s="72" t="n">
        <v>46338</v>
      </c>
      <c r="G21" s="17" t="inlineStr">
        <is>
          <t>Seg-Sex (2 encontros)</t>
        </is>
      </c>
      <c r="H21" s="57" t="inlineStr">
        <is>
          <t>Não (verificado por dia da semana)</t>
        </is>
      </c>
    </row>
    <row r="22" ht="18" customHeight="1">
      <c r="B22" s="82" t="inlineStr">
        <is>
          <t>Sala 1</t>
        </is>
      </c>
      <c r="C22" s="17" t="inlineStr">
        <is>
          <t>DH 1</t>
        </is>
      </c>
      <c r="D22" s="84" t="inlineStr">
        <is>
          <t>DH</t>
        </is>
      </c>
      <c r="E22" s="72" t="n">
        <v>46258</v>
      </c>
      <c r="F22" s="72" t="n">
        <v>46269</v>
      </c>
      <c r="G22" s="17" t="inlineStr">
        <is>
          <t>Seg-Sex</t>
        </is>
      </c>
      <c r="H22" s="57" t="inlineStr">
        <is>
          <t>Não (verificado por dia da semana)</t>
        </is>
      </c>
    </row>
    <row r="23" ht="18" customHeight="1">
      <c r="B23" s="82" t="inlineStr">
        <is>
          <t>Sala 1</t>
        </is>
      </c>
      <c r="C23" s="17" t="inlineStr">
        <is>
          <t>DH 4</t>
        </is>
      </c>
      <c r="D23" s="84" t="inlineStr">
        <is>
          <t>DH</t>
        </is>
      </c>
      <c r="E23" s="72" t="n">
        <v>46273</v>
      </c>
      <c r="F23" s="72" t="n">
        <v>46286</v>
      </c>
      <c r="G23" s="17" t="inlineStr">
        <is>
          <t>Seg-Sex</t>
        </is>
      </c>
      <c r="H23" s="57" t="inlineStr">
        <is>
          <t>Não (verificado por dia da semana)</t>
        </is>
      </c>
    </row>
    <row r="24" ht="18" customHeight="1">
      <c r="B24" s="82" t="inlineStr">
        <is>
          <t>Sala 1</t>
        </is>
      </c>
      <c r="C24" s="17" t="inlineStr">
        <is>
          <t>DH 7</t>
        </is>
      </c>
      <c r="D24" s="84" t="inlineStr">
        <is>
          <t>DH</t>
        </is>
      </c>
      <c r="E24" s="72" t="n">
        <v>46287</v>
      </c>
      <c r="F24" s="72" t="n">
        <v>46300</v>
      </c>
      <c r="G24" s="17" t="inlineStr">
        <is>
          <t>Seg-Sex</t>
        </is>
      </c>
      <c r="H24" s="57" t="inlineStr">
        <is>
          <t>Não (verificado por dia da semana)</t>
        </is>
      </c>
    </row>
    <row r="25" ht="18" customHeight="1">
      <c r="B25" s="82" t="inlineStr">
        <is>
          <t>Sala 1</t>
        </is>
      </c>
      <c r="C25" s="17" t="inlineStr">
        <is>
          <t>DH 10</t>
        </is>
      </c>
      <c r="D25" s="84" t="inlineStr">
        <is>
          <t>DH</t>
        </is>
      </c>
      <c r="E25" s="72" t="n">
        <v>46301</v>
      </c>
      <c r="F25" s="72" t="n">
        <v>46315</v>
      </c>
      <c r="G25" s="17" t="inlineStr">
        <is>
          <t>Seg-Sex</t>
        </is>
      </c>
      <c r="H25" s="57" t="inlineStr">
        <is>
          <t>Não (verificado por dia da semana)</t>
        </is>
      </c>
    </row>
    <row r="26" ht="18" customHeight="1">
      <c r="B26" s="82" t="inlineStr">
        <is>
          <t>Sala 1</t>
        </is>
      </c>
      <c r="C26" s="17" t="inlineStr">
        <is>
          <t>DH 13</t>
        </is>
      </c>
      <c r="D26" s="84" t="inlineStr">
        <is>
          <t>DH</t>
        </is>
      </c>
      <c r="E26" s="72" t="n">
        <v>46316</v>
      </c>
      <c r="F26" s="72" t="n">
        <v>46330</v>
      </c>
      <c r="G26" s="17" t="inlineStr">
        <is>
          <t>Seg-Sex</t>
        </is>
      </c>
      <c r="H26" s="57" t="inlineStr">
        <is>
          <t>Não (verificado por dia da semana)</t>
        </is>
      </c>
    </row>
    <row r="27" ht="18" customHeight="1">
      <c r="B27" s="82" t="inlineStr">
        <is>
          <t>Sala 2</t>
        </is>
      </c>
      <c r="C27" s="17" t="inlineStr">
        <is>
          <t>DH 2</t>
        </is>
      </c>
      <c r="D27" s="84" t="inlineStr">
        <is>
          <t>DH</t>
        </is>
      </c>
      <c r="E27" s="72" t="n">
        <v>46258</v>
      </c>
      <c r="F27" s="72" t="n">
        <v>46269</v>
      </c>
      <c r="G27" s="17" t="inlineStr">
        <is>
          <t>Seg-Sex</t>
        </is>
      </c>
      <c r="H27" s="57" t="inlineStr">
        <is>
          <t>Não (verificado por dia da semana)</t>
        </is>
      </c>
    </row>
    <row r="28" ht="18" customHeight="1">
      <c r="B28" s="82" t="inlineStr">
        <is>
          <t>Sala 2</t>
        </is>
      </c>
      <c r="C28" s="17" t="inlineStr">
        <is>
          <t>DH 5</t>
        </is>
      </c>
      <c r="D28" s="84" t="inlineStr">
        <is>
          <t>DH</t>
        </is>
      </c>
      <c r="E28" s="72" t="n">
        <v>46273</v>
      </c>
      <c r="F28" s="72" t="n">
        <v>46286</v>
      </c>
      <c r="G28" s="17" t="inlineStr">
        <is>
          <t>Seg-Sex</t>
        </is>
      </c>
      <c r="H28" s="57" t="inlineStr">
        <is>
          <t>Não (verificado por dia da semana)</t>
        </is>
      </c>
    </row>
    <row r="29" ht="18" customHeight="1">
      <c r="B29" s="82" t="inlineStr">
        <is>
          <t>Sala 2</t>
        </is>
      </c>
      <c r="C29" s="17" t="inlineStr">
        <is>
          <t>DH 8</t>
        </is>
      </c>
      <c r="D29" s="84" t="inlineStr">
        <is>
          <t>DH</t>
        </is>
      </c>
      <c r="E29" s="72" t="n">
        <v>46287</v>
      </c>
      <c r="F29" s="72" t="n">
        <v>46300</v>
      </c>
      <c r="G29" s="17" t="inlineStr">
        <is>
          <t>Seg-Sex</t>
        </is>
      </c>
      <c r="H29" s="57" t="inlineStr">
        <is>
          <t>Não (verificado por dia da semana)</t>
        </is>
      </c>
    </row>
    <row r="30" ht="18" customHeight="1">
      <c r="B30" s="82" t="inlineStr">
        <is>
          <t>Sala 2</t>
        </is>
      </c>
      <c r="C30" s="17" t="inlineStr">
        <is>
          <t>DH 11</t>
        </is>
      </c>
      <c r="D30" s="84" t="inlineStr">
        <is>
          <t>DH</t>
        </is>
      </c>
      <c r="E30" s="72" t="n">
        <v>46301</v>
      </c>
      <c r="F30" s="72" t="n">
        <v>46315</v>
      </c>
      <c r="G30" s="17" t="inlineStr">
        <is>
          <t>Seg-Sex</t>
        </is>
      </c>
      <c r="H30" s="57" t="inlineStr">
        <is>
          <t>Não (verificado por dia da semana)</t>
        </is>
      </c>
    </row>
    <row r="31" ht="18" customHeight="1">
      <c r="B31" s="82" t="inlineStr">
        <is>
          <t>Sala 2</t>
        </is>
      </c>
      <c r="C31" s="17" t="inlineStr">
        <is>
          <t>DH 14</t>
        </is>
      </c>
      <c r="D31" s="84" t="inlineStr">
        <is>
          <t>DH</t>
        </is>
      </c>
      <c r="E31" s="72" t="n">
        <v>46316</v>
      </c>
      <c r="F31" s="72" t="n">
        <v>46330</v>
      </c>
      <c r="G31" s="17" t="inlineStr">
        <is>
          <t>Seg-Sex</t>
        </is>
      </c>
      <c r="H31" s="57" t="inlineStr">
        <is>
          <t>Não (verificado por dia da semana)</t>
        </is>
      </c>
    </row>
    <row r="32" ht="18" customHeight="1">
      <c r="B32" s="82" t="inlineStr">
        <is>
          <t>Sala 3</t>
        </is>
      </c>
      <c r="C32" s="17" t="inlineStr">
        <is>
          <t>DH 3</t>
        </is>
      </c>
      <c r="D32" s="84" t="inlineStr">
        <is>
          <t>DH</t>
        </is>
      </c>
      <c r="E32" s="72" t="n">
        <v>46258</v>
      </c>
      <c r="F32" s="72" t="n">
        <v>46269</v>
      </c>
      <c r="G32" s="17" t="inlineStr">
        <is>
          <t>Seg-Sex</t>
        </is>
      </c>
      <c r="H32" s="57" t="inlineStr">
        <is>
          <t>Não (verificado por dia da semana)</t>
        </is>
      </c>
    </row>
    <row r="33" ht="18" customHeight="1">
      <c r="B33" s="82" t="inlineStr">
        <is>
          <t>Sala 3</t>
        </is>
      </c>
      <c r="C33" s="17" t="inlineStr">
        <is>
          <t>DH 6</t>
        </is>
      </c>
      <c r="D33" s="84" t="inlineStr">
        <is>
          <t>DH</t>
        </is>
      </c>
      <c r="E33" s="72" t="n">
        <v>46273</v>
      </c>
      <c r="F33" s="72" t="n">
        <v>46286</v>
      </c>
      <c r="G33" s="17" t="inlineStr">
        <is>
          <t>Seg-Sex</t>
        </is>
      </c>
      <c r="H33" s="57" t="inlineStr">
        <is>
          <t>Não (verificado por dia da semana)</t>
        </is>
      </c>
    </row>
    <row r="34" ht="18" customHeight="1">
      <c r="B34" s="82" t="inlineStr">
        <is>
          <t>Sala 3</t>
        </is>
      </c>
      <c r="C34" s="17" t="inlineStr">
        <is>
          <t>DH 9</t>
        </is>
      </c>
      <c r="D34" s="84" t="inlineStr">
        <is>
          <t>DH</t>
        </is>
      </c>
      <c r="E34" s="72" t="n">
        <v>46287</v>
      </c>
      <c r="F34" s="72" t="n">
        <v>46300</v>
      </c>
      <c r="G34" s="17" t="inlineStr">
        <is>
          <t>Seg-Sex</t>
        </is>
      </c>
      <c r="H34" s="57" t="inlineStr">
        <is>
          <t>Não (verificado por dia da semana)</t>
        </is>
      </c>
    </row>
    <row r="35" ht="18" customHeight="1">
      <c r="B35" s="82" t="inlineStr">
        <is>
          <t>Sala 3</t>
        </is>
      </c>
      <c r="C35" s="17" t="inlineStr">
        <is>
          <t>DH 12</t>
        </is>
      </c>
      <c r="D35" s="84" t="inlineStr">
        <is>
          <t>DH</t>
        </is>
      </c>
      <c r="E35" s="72" t="n">
        <v>46301</v>
      </c>
      <c r="F35" s="72" t="n">
        <v>46315</v>
      </c>
      <c r="G35" s="17" t="inlineStr">
        <is>
          <t>Seg-Sex</t>
        </is>
      </c>
      <c r="H35" s="57" t="inlineStr">
        <is>
          <t>Não (verificado por dia da semana)</t>
        </is>
      </c>
    </row>
    <row r="36" ht="18" customHeight="1">
      <c r="B36" s="82" t="inlineStr">
        <is>
          <t>Sala 3</t>
        </is>
      </c>
      <c r="C36" s="17" t="inlineStr">
        <is>
          <t>DH 15</t>
        </is>
      </c>
      <c r="D36" s="84" t="inlineStr">
        <is>
          <t>DH</t>
        </is>
      </c>
      <c r="E36" s="72" t="n">
        <v>46316</v>
      </c>
      <c r="F36" s="72" t="n">
        <v>46330</v>
      </c>
      <c r="G36" s="17" t="inlineStr">
        <is>
          <t>Seg-Sex</t>
        </is>
      </c>
      <c r="H36" s="57" t="inlineStr">
        <is>
          <t>Não (verificado por dia da semana)</t>
        </is>
      </c>
    </row>
    <row r="38">
      <c r="B38" s="49" t="inlineStr">
        <is>
          <t>LOCAIS EXTERNOS — CURSOS TÉCNICOS (fornecedores)</t>
        </is>
      </c>
    </row>
    <row r="39" ht="30" customHeight="1">
      <c r="B39" s="18" t="inlineStr">
        <is>
          <t>Fornecedor / Local</t>
        </is>
      </c>
      <c r="C39" s="18" t="inlineStr">
        <is>
          <t>Turma</t>
        </is>
      </c>
      <c r="D39" s="18" t="inlineStr">
        <is>
          <t>Tema</t>
        </is>
      </c>
      <c r="E39" s="18" t="inlineStr">
        <is>
          <t>Início</t>
        </is>
      </c>
      <c r="F39" s="18" t="inlineStr">
        <is>
          <t>Término</t>
        </is>
      </c>
      <c r="G39" s="18" t="inlineStr">
        <is>
          <t>Período livre até próxima turma</t>
        </is>
      </c>
      <c r="H39" s="18" t="inlineStr">
        <is>
          <t>Observação</t>
        </is>
      </c>
      <c r="I39" s="18" t="inlineStr"/>
    </row>
    <row r="40" ht="26" customHeight="1">
      <c r="B40" s="19" t="inlineStr">
        <is>
          <t>Fundo Social / SENAI</t>
        </is>
      </c>
      <c r="C40" s="17" t="inlineStr">
        <is>
          <t>CT1a</t>
        </is>
      </c>
      <c r="D40" s="6" t="inlineStr">
        <is>
          <t>Corte e Costura</t>
        </is>
      </c>
      <c r="E40" s="72" t="n">
        <v>46293</v>
      </c>
      <c r="F40" s="72" t="n">
        <v>46302</v>
      </c>
      <c r="G40" s="17" t="inlineStr">
        <is>
          <t>6 dias até CT1b</t>
        </is>
      </c>
      <c r="H40" s="17" t="inlineStr">
        <is>
          <t>—</t>
        </is>
      </c>
    </row>
    <row r="41" ht="26" customHeight="1">
      <c r="B41" s="19" t="inlineStr">
        <is>
          <t>Fundo Social / SENAI</t>
        </is>
      </c>
      <c r="C41" s="17" t="inlineStr">
        <is>
          <t>CT1b</t>
        </is>
      </c>
      <c r="D41" s="6" t="inlineStr">
        <is>
          <t>Corte e Costura</t>
        </is>
      </c>
      <c r="E41" s="72" t="n">
        <v>46308</v>
      </c>
      <c r="F41" s="72" t="n">
        <v>46317</v>
      </c>
      <c r="G41" s="17" t="inlineStr">
        <is>
          <t>Última turma desta trilha</t>
        </is>
      </c>
      <c r="H41" s="17" t="inlineStr">
        <is>
          <t>—</t>
        </is>
      </c>
    </row>
    <row r="42" ht="26" customHeight="1">
      <c r="B42" s="19" t="inlineStr">
        <is>
          <t>Fundo Social / SENAC</t>
        </is>
      </c>
      <c r="C42" s="17" t="inlineStr">
        <is>
          <t>CT3</t>
        </is>
      </c>
      <c r="D42" s="6" t="inlineStr">
        <is>
          <t>Beleza / Unhas</t>
        </is>
      </c>
      <c r="E42" s="72" t="n">
        <v>46321</v>
      </c>
      <c r="F42" s="72" t="n">
        <v>46335</v>
      </c>
      <c r="G42" s="17" t="inlineStr">
        <is>
          <t>3 dias até CT5</t>
        </is>
      </c>
      <c r="H42" s="17" t="inlineStr">
        <is>
          <t>—</t>
        </is>
      </c>
    </row>
    <row r="43" ht="26" customHeight="1">
      <c r="B43" s="19" t="inlineStr">
        <is>
          <t>Fundo Social / SENAC</t>
        </is>
      </c>
      <c r="C43" s="17" t="inlineStr">
        <is>
          <t>CT5</t>
        </is>
      </c>
      <c r="D43" s="6" t="inlineStr">
        <is>
          <t>Beleza / Cabelos Cacheados e Crespos</t>
        </is>
      </c>
      <c r="E43" s="72" t="n">
        <v>46338</v>
      </c>
      <c r="F43" s="72" t="n">
        <v>46358</v>
      </c>
      <c r="G43" s="17" t="inlineStr">
        <is>
          <t>5 dias até CT4a</t>
        </is>
      </c>
      <c r="H43" s="17" t="inlineStr">
        <is>
          <t>—</t>
        </is>
      </c>
    </row>
    <row r="44" ht="26" customHeight="1">
      <c r="B44" s="19" t="inlineStr">
        <is>
          <t>Fundo Social / SENAC</t>
        </is>
      </c>
      <c r="C44" s="17" t="inlineStr">
        <is>
          <t>CT4a</t>
        </is>
      </c>
      <c r="D44" s="6" t="inlineStr">
        <is>
          <t>Preparacao de Alimentos</t>
        </is>
      </c>
      <c r="E44" s="72" t="n">
        <v>46363</v>
      </c>
      <c r="F44" s="72" t="n">
        <v>46401</v>
      </c>
      <c r="G44" s="17" t="inlineStr">
        <is>
          <t>4 dias até CT4b</t>
        </is>
      </c>
      <c r="H44" s="17" t="inlineStr">
        <is>
          <t>—</t>
        </is>
      </c>
    </row>
    <row r="45" ht="26" customHeight="1">
      <c r="B45" s="19" t="inlineStr">
        <is>
          <t>Fundo Social / SENAC</t>
        </is>
      </c>
      <c r="C45" s="17" t="inlineStr">
        <is>
          <t>CT4b</t>
        </is>
      </c>
      <c r="D45" s="6" t="inlineStr">
        <is>
          <t>Preparacao de Alimentos</t>
        </is>
      </c>
      <c r="E45" s="72" t="n">
        <v>46405</v>
      </c>
      <c r="F45" s="72" t="n">
        <v>46422</v>
      </c>
      <c r="G45" s="17" t="inlineStr">
        <is>
          <t>Última turma desta trilha</t>
        </is>
      </c>
      <c r="H45" s="17" t="inlineStr">
        <is>
          <t>—</t>
        </is>
      </c>
    </row>
    <row r="46" ht="26" customHeight="1">
      <c r="B46" s="19" t="inlineStr">
        <is>
          <t>SENAI Paulinia</t>
        </is>
      </c>
      <c r="C46" s="17" t="inlineStr">
        <is>
          <t>CT7a</t>
        </is>
      </c>
      <c r="D46" s="6" t="inlineStr">
        <is>
          <t>Eletrica</t>
        </is>
      </c>
      <c r="E46" s="72" t="n">
        <v>46293</v>
      </c>
      <c r="F46" s="72" t="n">
        <v>46321</v>
      </c>
      <c r="G46" s="17" t="inlineStr">
        <is>
          <t>3 dias até CT7b</t>
        </is>
      </c>
      <c r="H46" s="17" t="inlineStr">
        <is>
          <t>—</t>
        </is>
      </c>
    </row>
    <row r="47" ht="26" customHeight="1">
      <c r="B47" s="19" t="inlineStr">
        <is>
          <t>SENAI Paulinia</t>
        </is>
      </c>
      <c r="C47" s="17" t="inlineStr">
        <is>
          <t>CT7b</t>
        </is>
      </c>
      <c r="D47" s="6" t="inlineStr">
        <is>
          <t>Eletrica</t>
        </is>
      </c>
      <c r="E47" s="72" t="n">
        <v>46324</v>
      </c>
      <c r="F47" s="72" t="n">
        <v>46353</v>
      </c>
      <c r="G47" s="17" t="inlineStr">
        <is>
          <t>3 dias até CT6</t>
        </is>
      </c>
      <c r="H47" s="17" t="inlineStr">
        <is>
          <t>—</t>
        </is>
      </c>
    </row>
    <row r="48" ht="26" customHeight="1">
      <c r="B48" s="19" t="inlineStr">
        <is>
          <t>SENAI Paulinia</t>
        </is>
      </c>
      <c r="C48" s="17" t="inlineStr">
        <is>
          <t>CT6</t>
        </is>
      </c>
      <c r="D48" s="6" t="inlineStr">
        <is>
          <t>Automacao</t>
        </is>
      </c>
      <c r="E48" s="72" t="n">
        <v>46356</v>
      </c>
      <c r="F48" s="72" t="n">
        <v>46402</v>
      </c>
      <c r="G48" s="17" t="inlineStr">
        <is>
          <t>Última turma desta trilha</t>
        </is>
      </c>
      <c r="H48" s="17" t="inlineStr">
        <is>
          <t>—</t>
        </is>
      </c>
    </row>
    <row r="49" ht="26" customHeight="1">
      <c r="B49" s="85" t="inlineStr">
        <is>
          <t>? (fornecedor nao confirmado)</t>
        </is>
      </c>
      <c r="C49" s="17" t="inlineStr">
        <is>
          <t>CT2</t>
        </is>
      </c>
      <c r="D49" s="6" t="inlineStr">
        <is>
          <t>Jardinagem</t>
        </is>
      </c>
      <c r="E49" s="72" t="n">
        <v>46293</v>
      </c>
      <c r="F49" s="72" t="n">
        <v>46304</v>
      </c>
      <c r="G49" s="17" t="inlineStr">
        <is>
          <t>Última turma desta trilha</t>
        </is>
      </c>
      <c r="H49" s="17" t="inlineStr">
        <is>
          <t>Fornecedor não confirmado</t>
        </is>
      </c>
    </row>
  </sheetData>
  <mergeCells count="4">
    <mergeCell ref="B3:H3"/>
    <mergeCell ref="B5:H5"/>
    <mergeCell ref="B2:H2"/>
    <mergeCell ref="B38:H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5395"/>
    <outlinePr summaryBelow="1" summaryRight="1"/>
    <pageSetUpPr/>
  </sheetPr>
  <dimension ref="B2:J5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22" customWidth="1" min="8" max="8"/>
    <col width="16" customWidth="1" min="9" max="9"/>
    <col width="30" customWidth="1" min="10" max="10"/>
    <col width="3" customWidth="1" min="11" max="11"/>
  </cols>
  <sheetData>
    <row r="2" ht="28" customHeight="1">
      <c r="B2" s="1" t="inlineStr">
        <is>
          <t>VISÃO POR TURMA — PALESTRAS (PS) E DESENVOLVIMENTO HUMANO (DH)</t>
        </is>
      </c>
    </row>
    <row r="3">
      <c r="B3" s="2" t="inlineStr">
        <is>
          <t>Cenário recomendado (B: 3 salas, DH 5x/semana) — ver abas 06-09 para os outros 3 cenários</t>
        </is>
      </c>
    </row>
    <row r="5" ht="20" customHeight="1">
      <c r="B5" s="86" t="inlineStr">
        <is>
          <t>PALESTRAS DE SENSIBILIZAÇÃO (PS 01 – PS 30)</t>
        </is>
      </c>
    </row>
    <row r="6" ht="30" customHeight="1">
      <c r="B6" s="18" t="inlineStr">
        <is>
          <t>Turma</t>
        </is>
      </c>
      <c r="C6" s="18" t="inlineStr">
        <is>
          <t>Data</t>
        </is>
      </c>
      <c r="D6" s="18" t="inlineStr">
        <is>
          <t>Dia da
semana</t>
        </is>
      </c>
      <c r="E6" s="18" t="inlineStr">
        <is>
          <t>Carga
horária</t>
        </is>
      </c>
      <c r="F6" s="18" t="inlineStr">
        <is>
          <t>Encontros</t>
        </is>
      </c>
      <c r="G6" s="18" t="inlineStr">
        <is>
          <t>Nº aprox.
participantes</t>
        </is>
      </c>
      <c r="H6" s="18" t="inlineStr">
        <is>
          <t>Predecessora</t>
        </is>
      </c>
      <c r="I6" s="18" t="inlineStr">
        <is>
          <t>Situação da informação</t>
        </is>
      </c>
    </row>
    <row r="7" ht="18" customHeight="1">
      <c r="B7" s="15" t="inlineStr">
        <is>
          <t>PS 01</t>
        </is>
      </c>
      <c r="C7" s="72" t="n">
        <v>46245</v>
      </c>
      <c r="D7" s="17" t="inlineStr">
        <is>
          <t>Terça</t>
        </is>
      </c>
      <c r="E7" s="17" t="inlineStr">
        <is>
          <t>2h</t>
        </is>
      </c>
      <c r="F7" s="17" t="n">
        <v>1</v>
      </c>
      <c r="G7" s="17" t="inlineStr">
        <is>
          <t>20-40</t>
        </is>
      </c>
      <c r="H7" s="17" t="inlineStr">
        <is>
          <t>—</t>
        </is>
      </c>
      <c r="I7" s="7" t="inlineStr">
        <is>
          <t>Premissa provisória</t>
        </is>
      </c>
    </row>
    <row r="8" ht="18" customHeight="1">
      <c r="B8" s="15" t="inlineStr">
        <is>
          <t>PS 02</t>
        </is>
      </c>
      <c r="C8" s="72" t="n">
        <v>46246</v>
      </c>
      <c r="D8" s="17" t="inlineStr">
        <is>
          <t>Quarta</t>
        </is>
      </c>
      <c r="E8" s="17" t="inlineStr">
        <is>
          <t>2h</t>
        </is>
      </c>
      <c r="F8" s="17" t="n">
        <v>1</v>
      </c>
      <c r="G8" s="17" t="inlineStr">
        <is>
          <t>20-40</t>
        </is>
      </c>
      <c r="H8" s="17" t="inlineStr">
        <is>
          <t>—</t>
        </is>
      </c>
      <c r="I8" s="7" t="inlineStr">
        <is>
          <t>Premissa provisória</t>
        </is>
      </c>
    </row>
    <row r="9" ht="18" customHeight="1">
      <c r="B9" s="15" t="inlineStr">
        <is>
          <t>PS 03</t>
        </is>
      </c>
      <c r="C9" s="72" t="n">
        <v>46247</v>
      </c>
      <c r="D9" s="17" t="inlineStr">
        <is>
          <t>Quinta</t>
        </is>
      </c>
      <c r="E9" s="17" t="inlineStr">
        <is>
          <t>2h</t>
        </is>
      </c>
      <c r="F9" s="17" t="n">
        <v>1</v>
      </c>
      <c r="G9" s="17" t="inlineStr">
        <is>
          <t>20-40</t>
        </is>
      </c>
      <c r="H9" s="17" t="inlineStr">
        <is>
          <t>—</t>
        </is>
      </c>
      <c r="I9" s="7" t="inlineStr">
        <is>
          <t>Premissa provisória</t>
        </is>
      </c>
    </row>
    <row r="10" ht="18" customHeight="1">
      <c r="B10" s="15" t="inlineStr">
        <is>
          <t>PS 04</t>
        </is>
      </c>
      <c r="C10" s="72" t="n">
        <v>46252</v>
      </c>
      <c r="D10" s="17" t="inlineStr">
        <is>
          <t>Terça</t>
        </is>
      </c>
      <c r="E10" s="17" t="inlineStr">
        <is>
          <t>2h</t>
        </is>
      </c>
      <c r="F10" s="17" t="n">
        <v>1</v>
      </c>
      <c r="G10" s="17" t="inlineStr">
        <is>
          <t>20-40</t>
        </is>
      </c>
      <c r="H10" s="17" t="inlineStr">
        <is>
          <t>—</t>
        </is>
      </c>
      <c r="I10" s="7" t="inlineStr">
        <is>
          <t>Premissa provisória</t>
        </is>
      </c>
    </row>
    <row r="11" ht="18" customHeight="1">
      <c r="B11" s="15" t="inlineStr">
        <is>
          <t>PS 05</t>
        </is>
      </c>
      <c r="C11" s="72" t="n">
        <v>46253</v>
      </c>
      <c r="D11" s="17" t="inlineStr">
        <is>
          <t>Quarta</t>
        </is>
      </c>
      <c r="E11" s="17" t="inlineStr">
        <is>
          <t>2h</t>
        </is>
      </c>
      <c r="F11" s="17" t="n">
        <v>1</v>
      </c>
      <c r="G11" s="17" t="inlineStr">
        <is>
          <t>20-40</t>
        </is>
      </c>
      <c r="H11" s="17" t="inlineStr">
        <is>
          <t>—</t>
        </is>
      </c>
      <c r="I11" s="7" t="inlineStr">
        <is>
          <t>Premissa provisória</t>
        </is>
      </c>
    </row>
    <row r="12" ht="18" customHeight="1">
      <c r="B12" s="15" t="inlineStr">
        <is>
          <t>PS 06</t>
        </is>
      </c>
      <c r="C12" s="72" t="n">
        <v>46254</v>
      </c>
      <c r="D12" s="17" t="inlineStr">
        <is>
          <t>Quinta</t>
        </is>
      </c>
      <c r="E12" s="17" t="inlineStr">
        <is>
          <t>2h</t>
        </is>
      </c>
      <c r="F12" s="17" t="n">
        <v>1</v>
      </c>
      <c r="G12" s="17" t="inlineStr">
        <is>
          <t>20-40</t>
        </is>
      </c>
      <c r="H12" s="17" t="inlineStr">
        <is>
          <t>—</t>
        </is>
      </c>
      <c r="I12" s="7" t="inlineStr">
        <is>
          <t>Premissa provisória</t>
        </is>
      </c>
    </row>
    <row r="13" ht="18" customHeight="1">
      <c r="B13" s="15" t="inlineStr">
        <is>
          <t>PS 07</t>
        </is>
      </c>
      <c r="C13" s="72" t="n">
        <v>46259</v>
      </c>
      <c r="D13" s="17" t="inlineStr">
        <is>
          <t>Terça</t>
        </is>
      </c>
      <c r="E13" s="17" t="inlineStr">
        <is>
          <t>2h</t>
        </is>
      </c>
      <c r="F13" s="17" t="n">
        <v>1</v>
      </c>
      <c r="G13" s="17" t="inlineStr">
        <is>
          <t>20-40</t>
        </is>
      </c>
      <c r="H13" s="17" t="inlineStr">
        <is>
          <t>—</t>
        </is>
      </c>
      <c r="I13" s="7" t="inlineStr">
        <is>
          <t>Premissa provisória</t>
        </is>
      </c>
    </row>
    <row r="14" ht="18" customHeight="1">
      <c r="B14" s="15" t="inlineStr">
        <is>
          <t>PS 08</t>
        </is>
      </c>
      <c r="C14" s="72" t="n">
        <v>46260</v>
      </c>
      <c r="D14" s="17" t="inlineStr">
        <is>
          <t>Quarta</t>
        </is>
      </c>
      <c r="E14" s="17" t="inlineStr">
        <is>
          <t>2h</t>
        </is>
      </c>
      <c r="F14" s="17" t="n">
        <v>1</v>
      </c>
      <c r="G14" s="17" t="inlineStr">
        <is>
          <t>20-40</t>
        </is>
      </c>
      <c r="H14" s="17" t="inlineStr">
        <is>
          <t>—</t>
        </is>
      </c>
      <c r="I14" s="7" t="inlineStr">
        <is>
          <t>Premissa provisória</t>
        </is>
      </c>
    </row>
    <row r="15" ht="18" customHeight="1">
      <c r="B15" s="15" t="inlineStr">
        <is>
          <t>PS 09</t>
        </is>
      </c>
      <c r="C15" s="72" t="n">
        <v>46261</v>
      </c>
      <c r="D15" s="17" t="inlineStr">
        <is>
          <t>Quinta</t>
        </is>
      </c>
      <c r="E15" s="17" t="inlineStr">
        <is>
          <t>2h</t>
        </is>
      </c>
      <c r="F15" s="17" t="n">
        <v>1</v>
      </c>
      <c r="G15" s="17" t="inlineStr">
        <is>
          <t>20-40</t>
        </is>
      </c>
      <c r="H15" s="17" t="inlineStr">
        <is>
          <t>—</t>
        </is>
      </c>
      <c r="I15" s="7" t="inlineStr">
        <is>
          <t>Premissa provisória</t>
        </is>
      </c>
    </row>
    <row r="16" ht="18" customHeight="1">
      <c r="B16" s="15" t="inlineStr">
        <is>
          <t>PS 10</t>
        </is>
      </c>
      <c r="C16" s="72" t="n">
        <v>46266</v>
      </c>
      <c r="D16" s="17" t="inlineStr">
        <is>
          <t>Terça</t>
        </is>
      </c>
      <c r="E16" s="17" t="inlineStr">
        <is>
          <t>2h</t>
        </is>
      </c>
      <c r="F16" s="17" t="n">
        <v>1</v>
      </c>
      <c r="G16" s="17" t="inlineStr">
        <is>
          <t>20-40</t>
        </is>
      </c>
      <c r="H16" s="17" t="inlineStr">
        <is>
          <t>—</t>
        </is>
      </c>
      <c r="I16" s="7" t="inlineStr">
        <is>
          <t>Premissa provisória</t>
        </is>
      </c>
    </row>
    <row r="17" ht="18" customHeight="1">
      <c r="B17" s="15" t="inlineStr">
        <is>
          <t>PS 11</t>
        </is>
      </c>
      <c r="C17" s="72" t="n">
        <v>46267</v>
      </c>
      <c r="D17" s="17" t="inlineStr">
        <is>
          <t>Quarta</t>
        </is>
      </c>
      <c r="E17" s="17" t="inlineStr">
        <is>
          <t>2h</t>
        </is>
      </c>
      <c r="F17" s="17" t="n">
        <v>1</v>
      </c>
      <c r="G17" s="17" t="inlineStr">
        <is>
          <t>20-40</t>
        </is>
      </c>
      <c r="H17" s="17" t="inlineStr">
        <is>
          <t>—</t>
        </is>
      </c>
      <c r="I17" s="7" t="inlineStr">
        <is>
          <t>Premissa provisória</t>
        </is>
      </c>
    </row>
    <row r="18" ht="18" customHeight="1">
      <c r="B18" s="15" t="inlineStr">
        <is>
          <t>PS 12</t>
        </is>
      </c>
      <c r="C18" s="72" t="n">
        <v>46268</v>
      </c>
      <c r="D18" s="17" t="inlineStr">
        <is>
          <t>Quinta</t>
        </is>
      </c>
      <c r="E18" s="17" t="inlineStr">
        <is>
          <t>2h</t>
        </is>
      </c>
      <c r="F18" s="17" t="n">
        <v>1</v>
      </c>
      <c r="G18" s="17" t="inlineStr">
        <is>
          <t>20-40</t>
        </is>
      </c>
      <c r="H18" s="17" t="inlineStr">
        <is>
          <t>—</t>
        </is>
      </c>
      <c r="I18" s="7" t="inlineStr">
        <is>
          <t>Premissa provisória</t>
        </is>
      </c>
    </row>
    <row r="19" ht="18" customHeight="1">
      <c r="B19" s="15" t="inlineStr">
        <is>
          <t>PS 13</t>
        </is>
      </c>
      <c r="C19" s="72" t="n">
        <v>46273</v>
      </c>
      <c r="D19" s="17" t="inlineStr">
        <is>
          <t>Terça</t>
        </is>
      </c>
      <c r="E19" s="17" t="inlineStr">
        <is>
          <t>2h</t>
        </is>
      </c>
      <c r="F19" s="17" t="n">
        <v>1</v>
      </c>
      <c r="G19" s="17" t="inlineStr">
        <is>
          <t>20-40</t>
        </is>
      </c>
      <c r="H19" s="17" t="inlineStr">
        <is>
          <t>—</t>
        </is>
      </c>
      <c r="I19" s="7" t="inlineStr">
        <is>
          <t>Premissa provisória</t>
        </is>
      </c>
    </row>
    <row r="20" ht="18" customHeight="1">
      <c r="B20" s="15" t="inlineStr">
        <is>
          <t>PS 14</t>
        </is>
      </c>
      <c r="C20" s="72" t="n">
        <v>46274</v>
      </c>
      <c r="D20" s="17" t="inlineStr">
        <is>
          <t>Quarta</t>
        </is>
      </c>
      <c r="E20" s="17" t="inlineStr">
        <is>
          <t>2h</t>
        </is>
      </c>
      <c r="F20" s="17" t="n">
        <v>1</v>
      </c>
      <c r="G20" s="17" t="inlineStr">
        <is>
          <t>20-40</t>
        </is>
      </c>
      <c r="H20" s="17" t="inlineStr">
        <is>
          <t>—</t>
        </is>
      </c>
      <c r="I20" s="7" t="inlineStr">
        <is>
          <t>Premissa provisória</t>
        </is>
      </c>
    </row>
    <row r="21" ht="18" customHeight="1">
      <c r="B21" s="15" t="inlineStr">
        <is>
          <t>PS 15</t>
        </is>
      </c>
      <c r="C21" s="72" t="n">
        <v>46275</v>
      </c>
      <c r="D21" s="17" t="inlineStr">
        <is>
          <t>Quinta</t>
        </is>
      </c>
      <c r="E21" s="17" t="inlineStr">
        <is>
          <t>2h</t>
        </is>
      </c>
      <c r="F21" s="17" t="n">
        <v>1</v>
      </c>
      <c r="G21" s="17" t="inlineStr">
        <is>
          <t>20-40</t>
        </is>
      </c>
      <c r="H21" s="17" t="inlineStr">
        <is>
          <t>—</t>
        </is>
      </c>
      <c r="I21" s="7" t="inlineStr">
        <is>
          <t>Premissa provisória</t>
        </is>
      </c>
    </row>
    <row r="22" ht="18" customHeight="1">
      <c r="B22" s="15" t="inlineStr">
        <is>
          <t>PS 16</t>
        </is>
      </c>
      <c r="C22" s="72" t="n">
        <v>46280</v>
      </c>
      <c r="D22" s="17" t="inlineStr">
        <is>
          <t>Terça</t>
        </is>
      </c>
      <c r="E22" s="17" t="inlineStr">
        <is>
          <t>2h</t>
        </is>
      </c>
      <c r="F22" s="17" t="n">
        <v>1</v>
      </c>
      <c r="G22" s="17" t="inlineStr">
        <is>
          <t>20-40</t>
        </is>
      </c>
      <c r="H22" s="17" t="inlineStr">
        <is>
          <t>—</t>
        </is>
      </c>
      <c r="I22" s="7" t="inlineStr">
        <is>
          <t>Premissa provisória</t>
        </is>
      </c>
    </row>
    <row r="23" ht="18" customHeight="1">
      <c r="B23" s="15" t="inlineStr">
        <is>
          <t>PS 17</t>
        </is>
      </c>
      <c r="C23" s="72" t="n">
        <v>46281</v>
      </c>
      <c r="D23" s="17" t="inlineStr">
        <is>
          <t>Quarta</t>
        </is>
      </c>
      <c r="E23" s="17" t="inlineStr">
        <is>
          <t>2h</t>
        </is>
      </c>
      <c r="F23" s="17" t="n">
        <v>1</v>
      </c>
      <c r="G23" s="17" t="inlineStr">
        <is>
          <t>20-40</t>
        </is>
      </c>
      <c r="H23" s="17" t="inlineStr">
        <is>
          <t>—</t>
        </is>
      </c>
      <c r="I23" s="7" t="inlineStr">
        <is>
          <t>Premissa provisória</t>
        </is>
      </c>
    </row>
    <row r="24" ht="18" customHeight="1">
      <c r="B24" s="15" t="inlineStr">
        <is>
          <t>PS 18</t>
        </is>
      </c>
      <c r="C24" s="72" t="n">
        <v>46282</v>
      </c>
      <c r="D24" s="17" t="inlineStr">
        <is>
          <t>Quinta</t>
        </is>
      </c>
      <c r="E24" s="17" t="inlineStr">
        <is>
          <t>2h</t>
        </is>
      </c>
      <c r="F24" s="17" t="n">
        <v>1</v>
      </c>
      <c r="G24" s="17" t="inlineStr">
        <is>
          <t>20-40</t>
        </is>
      </c>
      <c r="H24" s="17" t="inlineStr">
        <is>
          <t>—</t>
        </is>
      </c>
      <c r="I24" s="7" t="inlineStr">
        <is>
          <t>Premissa provisória</t>
        </is>
      </c>
    </row>
    <row r="25" ht="18" customHeight="1">
      <c r="B25" s="15" t="inlineStr">
        <is>
          <t>PS 19</t>
        </is>
      </c>
      <c r="C25" s="72" t="n">
        <v>46287</v>
      </c>
      <c r="D25" s="17" t="inlineStr">
        <is>
          <t>Terça</t>
        </is>
      </c>
      <c r="E25" s="17" t="inlineStr">
        <is>
          <t>2h</t>
        </is>
      </c>
      <c r="F25" s="17" t="n">
        <v>1</v>
      </c>
      <c r="G25" s="17" t="inlineStr">
        <is>
          <t>20-40</t>
        </is>
      </c>
      <c r="H25" s="17" t="inlineStr">
        <is>
          <t>—</t>
        </is>
      </c>
      <c r="I25" s="7" t="inlineStr">
        <is>
          <t>Premissa provisória</t>
        </is>
      </c>
    </row>
    <row r="26" ht="18" customHeight="1">
      <c r="B26" s="15" t="inlineStr">
        <is>
          <t>PS 20</t>
        </is>
      </c>
      <c r="C26" s="72" t="n">
        <v>46288</v>
      </c>
      <c r="D26" s="17" t="inlineStr">
        <is>
          <t>Quarta</t>
        </is>
      </c>
      <c r="E26" s="17" t="inlineStr">
        <is>
          <t>2h</t>
        </is>
      </c>
      <c r="F26" s="17" t="n">
        <v>1</v>
      </c>
      <c r="G26" s="17" t="inlineStr">
        <is>
          <t>20-40</t>
        </is>
      </c>
      <c r="H26" s="17" t="inlineStr">
        <is>
          <t>—</t>
        </is>
      </c>
      <c r="I26" s="7" t="inlineStr">
        <is>
          <t>Premissa provisória</t>
        </is>
      </c>
    </row>
    <row r="27" ht="18" customHeight="1">
      <c r="B27" s="15" t="inlineStr">
        <is>
          <t>PS 21</t>
        </is>
      </c>
      <c r="C27" s="72" t="n">
        <v>46289</v>
      </c>
      <c r="D27" s="17" t="inlineStr">
        <is>
          <t>Quinta</t>
        </is>
      </c>
      <c r="E27" s="17" t="inlineStr">
        <is>
          <t>2h</t>
        </is>
      </c>
      <c r="F27" s="17" t="n">
        <v>1</v>
      </c>
      <c r="G27" s="17" t="inlineStr">
        <is>
          <t>20-40</t>
        </is>
      </c>
      <c r="H27" s="17" t="inlineStr">
        <is>
          <t>—</t>
        </is>
      </c>
      <c r="I27" s="7" t="inlineStr">
        <is>
          <t>Premissa provisória</t>
        </is>
      </c>
    </row>
    <row r="28" ht="18" customHeight="1">
      <c r="B28" s="15" t="inlineStr">
        <is>
          <t>PS 22</t>
        </is>
      </c>
      <c r="C28" s="72" t="n">
        <v>46294</v>
      </c>
      <c r="D28" s="17" t="inlineStr">
        <is>
          <t>Terça</t>
        </is>
      </c>
      <c r="E28" s="17" t="inlineStr">
        <is>
          <t>2h</t>
        </is>
      </c>
      <c r="F28" s="17" t="n">
        <v>1</v>
      </c>
      <c r="G28" s="17" t="inlineStr">
        <is>
          <t>20-40</t>
        </is>
      </c>
      <c r="H28" s="17" t="inlineStr">
        <is>
          <t>—</t>
        </is>
      </c>
      <c r="I28" s="7" t="inlineStr">
        <is>
          <t>Premissa provisória</t>
        </is>
      </c>
    </row>
    <row r="29" ht="18" customHeight="1">
      <c r="B29" s="15" t="inlineStr">
        <is>
          <t>PS 23</t>
        </is>
      </c>
      <c r="C29" s="72" t="n">
        <v>46295</v>
      </c>
      <c r="D29" s="17" t="inlineStr">
        <is>
          <t>Quarta</t>
        </is>
      </c>
      <c r="E29" s="17" t="inlineStr">
        <is>
          <t>2h</t>
        </is>
      </c>
      <c r="F29" s="17" t="n">
        <v>1</v>
      </c>
      <c r="G29" s="17" t="inlineStr">
        <is>
          <t>20-40</t>
        </is>
      </c>
      <c r="H29" s="17" t="inlineStr">
        <is>
          <t>—</t>
        </is>
      </c>
      <c r="I29" s="7" t="inlineStr">
        <is>
          <t>Premissa provisória</t>
        </is>
      </c>
    </row>
    <row r="30" ht="18" customHeight="1">
      <c r="B30" s="15" t="inlineStr">
        <is>
          <t>PS 24</t>
        </is>
      </c>
      <c r="C30" s="72" t="n">
        <v>46296</v>
      </c>
      <c r="D30" s="17" t="inlineStr">
        <is>
          <t>Quinta</t>
        </is>
      </c>
      <c r="E30" s="17" t="inlineStr">
        <is>
          <t>2h</t>
        </is>
      </c>
      <c r="F30" s="17" t="n">
        <v>1</v>
      </c>
      <c r="G30" s="17" t="inlineStr">
        <is>
          <t>20-40</t>
        </is>
      </c>
      <c r="H30" s="17" t="inlineStr">
        <is>
          <t>—</t>
        </is>
      </c>
      <c r="I30" s="7" t="inlineStr">
        <is>
          <t>Premissa provisória</t>
        </is>
      </c>
    </row>
    <row r="31" ht="18" customHeight="1">
      <c r="B31" s="15" t="inlineStr">
        <is>
          <t>PS 25</t>
        </is>
      </c>
      <c r="C31" s="72" t="n">
        <v>46301</v>
      </c>
      <c r="D31" s="17" t="inlineStr">
        <is>
          <t>Terça</t>
        </is>
      </c>
      <c r="E31" s="17" t="inlineStr">
        <is>
          <t>2h</t>
        </is>
      </c>
      <c r="F31" s="17" t="n">
        <v>1</v>
      </c>
      <c r="G31" s="17" t="inlineStr">
        <is>
          <t>20-40</t>
        </is>
      </c>
      <c r="H31" s="17" t="inlineStr">
        <is>
          <t>—</t>
        </is>
      </c>
      <c r="I31" s="7" t="inlineStr">
        <is>
          <t>Premissa provisória</t>
        </is>
      </c>
    </row>
    <row r="32" ht="18" customHeight="1">
      <c r="B32" s="15" t="inlineStr">
        <is>
          <t>PS 26</t>
        </is>
      </c>
      <c r="C32" s="72" t="n">
        <v>46302</v>
      </c>
      <c r="D32" s="17" t="inlineStr">
        <is>
          <t>Quarta</t>
        </is>
      </c>
      <c r="E32" s="17" t="inlineStr">
        <is>
          <t>2h</t>
        </is>
      </c>
      <c r="F32" s="17" t="n">
        <v>1</v>
      </c>
      <c r="G32" s="17" t="inlineStr">
        <is>
          <t>20-40</t>
        </is>
      </c>
      <c r="H32" s="17" t="inlineStr">
        <is>
          <t>—</t>
        </is>
      </c>
      <c r="I32" s="7" t="inlineStr">
        <is>
          <t>Premissa provisória</t>
        </is>
      </c>
    </row>
    <row r="33" ht="18" customHeight="1">
      <c r="B33" s="15" t="inlineStr">
        <is>
          <t>PS 27</t>
        </is>
      </c>
      <c r="C33" s="72" t="n">
        <v>46303</v>
      </c>
      <c r="D33" s="17" t="inlineStr">
        <is>
          <t>Quinta</t>
        </is>
      </c>
      <c r="E33" s="17" t="inlineStr">
        <is>
          <t>2h</t>
        </is>
      </c>
      <c r="F33" s="17" t="n">
        <v>1</v>
      </c>
      <c r="G33" s="17" t="inlineStr">
        <is>
          <t>20-40</t>
        </is>
      </c>
      <c r="H33" s="17" t="inlineStr">
        <is>
          <t>—</t>
        </is>
      </c>
      <c r="I33" s="7" t="inlineStr">
        <is>
          <t>Premissa provisória</t>
        </is>
      </c>
    </row>
    <row r="34" ht="18" customHeight="1">
      <c r="B34" s="15" t="inlineStr">
        <is>
          <t>PS 28</t>
        </is>
      </c>
      <c r="C34" s="72" t="n">
        <v>46308</v>
      </c>
      <c r="D34" s="17" t="inlineStr">
        <is>
          <t>Terça</t>
        </is>
      </c>
      <c r="E34" s="17" t="inlineStr">
        <is>
          <t>2h</t>
        </is>
      </c>
      <c r="F34" s="17" t="n">
        <v>1</v>
      </c>
      <c r="G34" s="17" t="inlineStr">
        <is>
          <t>20-40</t>
        </is>
      </c>
      <c r="H34" s="17" t="inlineStr">
        <is>
          <t>—</t>
        </is>
      </c>
      <c r="I34" s="7" t="inlineStr">
        <is>
          <t>Premissa provisória</t>
        </is>
      </c>
    </row>
    <row r="35" ht="18" customHeight="1">
      <c r="B35" s="15" t="inlineStr">
        <is>
          <t>PS 29</t>
        </is>
      </c>
      <c r="C35" s="72" t="n">
        <v>46309</v>
      </c>
      <c r="D35" s="17" t="inlineStr">
        <is>
          <t>Quarta</t>
        </is>
      </c>
      <c r="E35" s="17" t="inlineStr">
        <is>
          <t>2h</t>
        </is>
      </c>
      <c r="F35" s="17" t="n">
        <v>1</v>
      </c>
      <c r="G35" s="17" t="inlineStr">
        <is>
          <t>20-40</t>
        </is>
      </c>
      <c r="H35" s="17" t="inlineStr">
        <is>
          <t>—</t>
        </is>
      </c>
      <c r="I35" s="7" t="inlineStr">
        <is>
          <t>Premissa provisória</t>
        </is>
      </c>
    </row>
    <row r="36" ht="18" customHeight="1">
      <c r="B36" s="15" t="inlineStr">
        <is>
          <t>PS 30</t>
        </is>
      </c>
      <c r="C36" s="72" t="n">
        <v>46310</v>
      </c>
      <c r="D36" s="17" t="inlineStr">
        <is>
          <t>Quinta</t>
        </is>
      </c>
      <c r="E36" s="17" t="inlineStr">
        <is>
          <t>2h</t>
        </is>
      </c>
      <c r="F36" s="17" t="n">
        <v>1</v>
      </c>
      <c r="G36" s="17" t="inlineStr">
        <is>
          <t>20-40</t>
        </is>
      </c>
      <c r="H36" s="17" t="inlineStr">
        <is>
          <t>—</t>
        </is>
      </c>
      <c r="I36" s="7" t="inlineStr">
        <is>
          <t>Premissa provisória</t>
        </is>
      </c>
    </row>
    <row r="38" ht="20" customHeight="1">
      <c r="B38" s="87" t="inlineStr">
        <is>
          <t>DESENVOLVIMENTO HUMANO (DH 01 – DH 15) — Cenário B</t>
        </is>
      </c>
    </row>
    <row r="39" ht="30" customHeight="1">
      <c r="B39" s="18" t="inlineStr">
        <is>
          <t>Turma</t>
        </is>
      </c>
      <c r="C39" s="18" t="inlineStr">
        <is>
          <t>Início</t>
        </is>
      </c>
      <c r="D39" s="18" t="inlineStr">
        <is>
          <t>Término</t>
        </is>
      </c>
      <c r="E39" s="18" t="inlineStr">
        <is>
          <t>Frequência</t>
        </is>
      </c>
      <c r="F39" s="18" t="inlineStr">
        <is>
          <t>Carga
horária</t>
        </is>
      </c>
      <c r="G39" s="18" t="inlineStr">
        <is>
          <t>Encontros</t>
        </is>
      </c>
      <c r="H39" s="18" t="inlineStr">
        <is>
          <t>Sala</t>
        </is>
      </c>
      <c r="I39" s="18" t="inlineStr">
        <is>
          <t>Nº aprox.
participantes</t>
        </is>
      </c>
      <c r="J39" s="18" t="inlineStr">
        <is>
          <t>Predecessora / Situação</t>
        </is>
      </c>
    </row>
    <row r="40" ht="26" customHeight="1">
      <c r="B40" s="15" t="inlineStr">
        <is>
          <t>DH 1</t>
        </is>
      </c>
      <c r="C40" s="72" t="n">
        <v>46258</v>
      </c>
      <c r="D40" s="72" t="n">
        <v>46269</v>
      </c>
      <c r="E40" s="17" t="inlineStr">
        <is>
          <t>Seg-Sex</t>
        </is>
      </c>
      <c r="F40" s="17" t="inlineStr">
        <is>
          <t>20h (premissa; alternativa 22h)</t>
        </is>
      </c>
      <c r="G40" s="17" t="n">
        <v>10</v>
      </c>
      <c r="H40" s="17" t="inlineStr">
        <is>
          <t>Sala 1</t>
        </is>
      </c>
      <c r="I40" s="17" t="inlineStr">
        <is>
          <t>20-40</t>
        </is>
      </c>
      <c r="J40" s="73" t="inlineStr">
        <is>
          <t>PS 01 e PS 02 (regra 2 PS = 1 DH — premissa)</t>
        </is>
      </c>
    </row>
    <row r="41" ht="26" customHeight="1">
      <c r="B41" s="15" t="inlineStr">
        <is>
          <t>DH 2</t>
        </is>
      </c>
      <c r="C41" s="72" t="n">
        <v>46258</v>
      </c>
      <c r="D41" s="72" t="n">
        <v>46269</v>
      </c>
      <c r="E41" s="17" t="inlineStr">
        <is>
          <t>Seg-Sex</t>
        </is>
      </c>
      <c r="F41" s="17" t="inlineStr">
        <is>
          <t>20h (premissa; alternativa 22h)</t>
        </is>
      </c>
      <c r="G41" s="17" t="n">
        <v>10</v>
      </c>
      <c r="H41" s="17" t="inlineStr">
        <is>
          <t>Sala 2</t>
        </is>
      </c>
      <c r="I41" s="17" t="inlineStr">
        <is>
          <t>20-40</t>
        </is>
      </c>
      <c r="J41" s="73" t="inlineStr">
        <is>
          <t>PS 03 e PS 04 (regra 2 PS = 1 DH — premissa)</t>
        </is>
      </c>
    </row>
    <row r="42" ht="26" customHeight="1">
      <c r="B42" s="15" t="inlineStr">
        <is>
          <t>DH 3</t>
        </is>
      </c>
      <c r="C42" s="72" t="n">
        <v>46258</v>
      </c>
      <c r="D42" s="72" t="n">
        <v>46269</v>
      </c>
      <c r="E42" s="17" t="inlineStr">
        <is>
          <t>Seg-Sex</t>
        </is>
      </c>
      <c r="F42" s="17" t="inlineStr">
        <is>
          <t>20h (premissa; alternativa 22h)</t>
        </is>
      </c>
      <c r="G42" s="17" t="n">
        <v>10</v>
      </c>
      <c r="H42" s="17" t="inlineStr">
        <is>
          <t>Sala 3</t>
        </is>
      </c>
      <c r="I42" s="17" t="inlineStr">
        <is>
          <t>20-40</t>
        </is>
      </c>
      <c r="J42" s="73" t="inlineStr">
        <is>
          <t>PS 05 e PS 06 (regra 2 PS = 1 DH — premissa)</t>
        </is>
      </c>
    </row>
    <row r="43" ht="26" customHeight="1">
      <c r="B43" s="15" t="inlineStr">
        <is>
          <t>DH 4</t>
        </is>
      </c>
      <c r="C43" s="72" t="n">
        <v>46273</v>
      </c>
      <c r="D43" s="72" t="n">
        <v>46286</v>
      </c>
      <c r="E43" s="17" t="inlineStr">
        <is>
          <t>Seg-Sex</t>
        </is>
      </c>
      <c r="F43" s="17" t="inlineStr">
        <is>
          <t>20h (premissa; alternativa 22h)</t>
        </is>
      </c>
      <c r="G43" s="17" t="n">
        <v>10</v>
      </c>
      <c r="H43" s="17" t="inlineStr">
        <is>
          <t>Sala 1</t>
        </is>
      </c>
      <c r="I43" s="17" t="inlineStr">
        <is>
          <t>20-40</t>
        </is>
      </c>
      <c r="J43" s="73" t="inlineStr">
        <is>
          <t>PS 07 e PS 08 (regra 2 PS = 1 DH — premissa)</t>
        </is>
      </c>
    </row>
    <row r="44" ht="26" customHeight="1">
      <c r="B44" s="15" t="inlineStr">
        <is>
          <t>DH 5</t>
        </is>
      </c>
      <c r="C44" s="72" t="n">
        <v>46273</v>
      </c>
      <c r="D44" s="72" t="n">
        <v>46286</v>
      </c>
      <c r="E44" s="17" t="inlineStr">
        <is>
          <t>Seg-Sex</t>
        </is>
      </c>
      <c r="F44" s="17" t="inlineStr">
        <is>
          <t>20h (premissa; alternativa 22h)</t>
        </is>
      </c>
      <c r="G44" s="17" t="n">
        <v>10</v>
      </c>
      <c r="H44" s="17" t="inlineStr">
        <is>
          <t>Sala 2</t>
        </is>
      </c>
      <c r="I44" s="17" t="inlineStr">
        <is>
          <t>20-40</t>
        </is>
      </c>
      <c r="J44" s="73" t="inlineStr">
        <is>
          <t>PS 09 e PS 10 (regra 2 PS = 1 DH — premissa)</t>
        </is>
      </c>
    </row>
    <row r="45" ht="26" customHeight="1">
      <c r="B45" s="15" t="inlineStr">
        <is>
          <t>DH 6</t>
        </is>
      </c>
      <c r="C45" s="72" t="n">
        <v>46273</v>
      </c>
      <c r="D45" s="72" t="n">
        <v>46286</v>
      </c>
      <c r="E45" s="17" t="inlineStr">
        <is>
          <t>Seg-Sex</t>
        </is>
      </c>
      <c r="F45" s="17" t="inlineStr">
        <is>
          <t>20h (premissa; alternativa 22h)</t>
        </is>
      </c>
      <c r="G45" s="17" t="n">
        <v>10</v>
      </c>
      <c r="H45" s="17" t="inlineStr">
        <is>
          <t>Sala 3</t>
        </is>
      </c>
      <c r="I45" s="17" t="inlineStr">
        <is>
          <t>20-40</t>
        </is>
      </c>
      <c r="J45" s="73" t="inlineStr">
        <is>
          <t>PS 11 e PS 12 (regra 2 PS = 1 DH — premissa)</t>
        </is>
      </c>
    </row>
    <row r="46" ht="26" customHeight="1">
      <c r="B46" s="15" t="inlineStr">
        <is>
          <t>DH 7</t>
        </is>
      </c>
      <c r="C46" s="72" t="n">
        <v>46287</v>
      </c>
      <c r="D46" s="72" t="n">
        <v>46300</v>
      </c>
      <c r="E46" s="17" t="inlineStr">
        <is>
          <t>Seg-Sex</t>
        </is>
      </c>
      <c r="F46" s="17" t="inlineStr">
        <is>
          <t>20h (premissa; alternativa 22h)</t>
        </is>
      </c>
      <c r="G46" s="17" t="n">
        <v>10</v>
      </c>
      <c r="H46" s="17" t="inlineStr">
        <is>
          <t>Sala 1</t>
        </is>
      </c>
      <c r="I46" s="17" t="inlineStr">
        <is>
          <t>20-40</t>
        </is>
      </c>
      <c r="J46" s="73" t="inlineStr">
        <is>
          <t>PS 13 e PS 14 (regra 2 PS = 1 DH — premissa)</t>
        </is>
      </c>
    </row>
    <row r="47" ht="26" customHeight="1">
      <c r="B47" s="15" t="inlineStr">
        <is>
          <t>DH 8</t>
        </is>
      </c>
      <c r="C47" s="72" t="n">
        <v>46287</v>
      </c>
      <c r="D47" s="72" t="n">
        <v>46300</v>
      </c>
      <c r="E47" s="17" t="inlineStr">
        <is>
          <t>Seg-Sex</t>
        </is>
      </c>
      <c r="F47" s="17" t="inlineStr">
        <is>
          <t>20h (premissa; alternativa 22h)</t>
        </is>
      </c>
      <c r="G47" s="17" t="n">
        <v>10</v>
      </c>
      <c r="H47" s="17" t="inlineStr">
        <is>
          <t>Sala 2</t>
        </is>
      </c>
      <c r="I47" s="17" t="inlineStr">
        <is>
          <t>20-40</t>
        </is>
      </c>
      <c r="J47" s="73" t="inlineStr">
        <is>
          <t>PS 15 e PS 16 (regra 2 PS = 1 DH — premissa)</t>
        </is>
      </c>
    </row>
    <row r="48" ht="26" customHeight="1">
      <c r="B48" s="15" t="inlineStr">
        <is>
          <t>DH 9</t>
        </is>
      </c>
      <c r="C48" s="72" t="n">
        <v>46287</v>
      </c>
      <c r="D48" s="72" t="n">
        <v>46300</v>
      </c>
      <c r="E48" s="17" t="inlineStr">
        <is>
          <t>Seg-Sex</t>
        </is>
      </c>
      <c r="F48" s="17" t="inlineStr">
        <is>
          <t>20h (premissa; alternativa 22h)</t>
        </is>
      </c>
      <c r="G48" s="17" t="n">
        <v>10</v>
      </c>
      <c r="H48" s="17" t="inlineStr">
        <is>
          <t>Sala 3</t>
        </is>
      </c>
      <c r="I48" s="17" t="inlineStr">
        <is>
          <t>20-40</t>
        </is>
      </c>
      <c r="J48" s="73" t="inlineStr">
        <is>
          <t>PS 17 e PS 18 (regra 2 PS = 1 DH — premissa)</t>
        </is>
      </c>
    </row>
    <row r="49" ht="26" customHeight="1">
      <c r="B49" s="15" t="inlineStr">
        <is>
          <t>DH 10</t>
        </is>
      </c>
      <c r="C49" s="72" t="n">
        <v>46301</v>
      </c>
      <c r="D49" s="72" t="n">
        <v>46315</v>
      </c>
      <c r="E49" s="17" t="inlineStr">
        <is>
          <t>Seg-Sex</t>
        </is>
      </c>
      <c r="F49" s="17" t="inlineStr">
        <is>
          <t>20h (premissa; alternativa 22h)</t>
        </is>
      </c>
      <c r="G49" s="17" t="n">
        <v>10</v>
      </c>
      <c r="H49" s="17" t="inlineStr">
        <is>
          <t>Sala 1</t>
        </is>
      </c>
      <c r="I49" s="17" t="inlineStr">
        <is>
          <t>20-40</t>
        </is>
      </c>
      <c r="J49" s="73" t="inlineStr">
        <is>
          <t>PS 19 e PS 20 (regra 2 PS = 1 DH — premissa)</t>
        </is>
      </c>
    </row>
    <row r="50" ht="26" customHeight="1">
      <c r="B50" s="15" t="inlineStr">
        <is>
          <t>DH 11</t>
        </is>
      </c>
      <c r="C50" s="72" t="n">
        <v>46301</v>
      </c>
      <c r="D50" s="72" t="n">
        <v>46315</v>
      </c>
      <c r="E50" s="17" t="inlineStr">
        <is>
          <t>Seg-Sex</t>
        </is>
      </c>
      <c r="F50" s="17" t="inlineStr">
        <is>
          <t>20h (premissa; alternativa 22h)</t>
        </is>
      </c>
      <c r="G50" s="17" t="n">
        <v>10</v>
      </c>
      <c r="H50" s="17" t="inlineStr">
        <is>
          <t>Sala 2</t>
        </is>
      </c>
      <c r="I50" s="17" t="inlineStr">
        <is>
          <t>20-40</t>
        </is>
      </c>
      <c r="J50" s="73" t="inlineStr">
        <is>
          <t>PS 21 e PS 22 (regra 2 PS = 1 DH — premissa)</t>
        </is>
      </c>
    </row>
    <row r="51" ht="26" customHeight="1">
      <c r="B51" s="15" t="inlineStr">
        <is>
          <t>DH 12</t>
        </is>
      </c>
      <c r="C51" s="72" t="n">
        <v>46301</v>
      </c>
      <c r="D51" s="72" t="n">
        <v>46315</v>
      </c>
      <c r="E51" s="17" t="inlineStr">
        <is>
          <t>Seg-Sex</t>
        </is>
      </c>
      <c r="F51" s="17" t="inlineStr">
        <is>
          <t>20h (premissa; alternativa 22h)</t>
        </is>
      </c>
      <c r="G51" s="17" t="n">
        <v>10</v>
      </c>
      <c r="H51" s="17" t="inlineStr">
        <is>
          <t>Sala 3</t>
        </is>
      </c>
      <c r="I51" s="17" t="inlineStr">
        <is>
          <t>20-40</t>
        </is>
      </c>
      <c r="J51" s="73" t="inlineStr">
        <is>
          <t>PS 23 e PS 24 (regra 2 PS = 1 DH — premissa)</t>
        </is>
      </c>
    </row>
    <row r="52" ht="26" customHeight="1">
      <c r="B52" s="15" t="inlineStr">
        <is>
          <t>DH 13</t>
        </is>
      </c>
      <c r="C52" s="72" t="n">
        <v>46316</v>
      </c>
      <c r="D52" s="72" t="n">
        <v>46330</v>
      </c>
      <c r="E52" s="17" t="inlineStr">
        <is>
          <t>Seg-Sex</t>
        </is>
      </c>
      <c r="F52" s="17" t="inlineStr">
        <is>
          <t>20h (premissa; alternativa 22h)</t>
        </is>
      </c>
      <c r="G52" s="17" t="n">
        <v>10</v>
      </c>
      <c r="H52" s="17" t="inlineStr">
        <is>
          <t>Sala 1</t>
        </is>
      </c>
      <c r="I52" s="17" t="inlineStr">
        <is>
          <t>20-40</t>
        </is>
      </c>
      <c r="J52" s="73" t="inlineStr">
        <is>
          <t>PS 25 e PS 26 (regra 2 PS = 1 DH — premissa)</t>
        </is>
      </c>
    </row>
    <row r="53" ht="26" customHeight="1">
      <c r="B53" s="15" t="inlineStr">
        <is>
          <t>DH 14</t>
        </is>
      </c>
      <c r="C53" s="72" t="n">
        <v>46316</v>
      </c>
      <c r="D53" s="72" t="n">
        <v>46330</v>
      </c>
      <c r="E53" s="17" t="inlineStr">
        <is>
          <t>Seg-Sex</t>
        </is>
      </c>
      <c r="F53" s="17" t="inlineStr">
        <is>
          <t>20h (premissa; alternativa 22h)</t>
        </is>
      </c>
      <c r="G53" s="17" t="n">
        <v>10</v>
      </c>
      <c r="H53" s="17" t="inlineStr">
        <is>
          <t>Sala 2</t>
        </is>
      </c>
      <c r="I53" s="17" t="inlineStr">
        <is>
          <t>20-40</t>
        </is>
      </c>
      <c r="J53" s="73" t="inlineStr">
        <is>
          <t>PS 27 e PS 28 (regra 2 PS = 1 DH — premissa)</t>
        </is>
      </c>
    </row>
    <row r="54" ht="26" customHeight="1">
      <c r="B54" s="15" t="inlineStr">
        <is>
          <t>DH 15</t>
        </is>
      </c>
      <c r="C54" s="72" t="n">
        <v>46316</v>
      </c>
      <c r="D54" s="72" t="n">
        <v>46330</v>
      </c>
      <c r="E54" s="17" t="inlineStr">
        <is>
          <t>Seg-Sex</t>
        </is>
      </c>
      <c r="F54" s="17" t="inlineStr">
        <is>
          <t>20h (premissa; alternativa 22h)</t>
        </is>
      </c>
      <c r="G54" s="17" t="n">
        <v>10</v>
      </c>
      <c r="H54" s="17" t="inlineStr">
        <is>
          <t>Sala 3</t>
        </is>
      </c>
      <c r="I54" s="17" t="inlineStr">
        <is>
          <t>20-40</t>
        </is>
      </c>
      <c r="J54" s="73" t="inlineStr">
        <is>
          <t>PS 29 e PS 30 (regra 2 PS = 1 DH — premissa)</t>
        </is>
      </c>
    </row>
  </sheetData>
  <mergeCells count="4">
    <mergeCell ref="B38:J38"/>
    <mergeCell ref="B3:J3"/>
    <mergeCell ref="B5:J5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5395"/>
    <outlinePr summaryBelow="1" summaryRight="1"/>
    <pageSetUpPr/>
  </sheetPr>
  <dimension ref="B2:J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  <col width="3" customWidth="1" min="10" max="10"/>
  </cols>
  <sheetData>
    <row r="2" ht="28" customHeight="1">
      <c r="B2" s="1" t="inlineStr">
        <is>
          <t>OFICINA DE GESTÃO (OG) — DETALHAMENTO DE TURMAS</t>
        </is>
      </c>
    </row>
    <row r="3">
      <c r="B3" s="2" t="inlineStr">
        <is>
          <t>Premissa provisória: 1 turma de OG por turma de DH concluída (15 no total). Ver divergência com a regra "2 DH = 1 OG + 1 CT" nas abas 01/02/03.</t>
        </is>
      </c>
    </row>
    <row r="5" ht="30" customHeight="1">
      <c r="B5" s="18" t="inlineStr">
        <is>
          <t>Turma</t>
        </is>
      </c>
      <c r="C5" s="18" t="inlineStr">
        <is>
          <t>Início</t>
        </is>
      </c>
      <c r="D5" s="18" t="inlineStr">
        <is>
          <t>Término</t>
        </is>
      </c>
      <c r="E5" s="18" t="inlineStr">
        <is>
          <t>Carga
horária</t>
        </is>
      </c>
      <c r="F5" s="18" t="inlineStr">
        <is>
          <t>Encontros</t>
        </is>
      </c>
      <c r="G5" s="18" t="inlineStr">
        <is>
          <t>Sala</t>
        </is>
      </c>
      <c r="H5" s="18" t="inlineStr">
        <is>
          <t>Nº aprox.
participantes</t>
        </is>
      </c>
      <c r="I5" s="18" t="inlineStr">
        <is>
          <t>Predecessora</t>
        </is>
      </c>
      <c r="J5" s="18" t="inlineStr">
        <is>
          <t>Classificação</t>
        </is>
      </c>
    </row>
    <row r="6" ht="18" customHeight="1">
      <c r="B6" s="15" t="inlineStr">
        <is>
          <t>OG 1</t>
        </is>
      </c>
      <c r="C6" s="72" t="n">
        <v>46276</v>
      </c>
      <c r="D6" s="72" t="n">
        <v>46279</v>
      </c>
      <c r="E6" s="17" t="inlineStr">
        <is>
          <t>4h</t>
        </is>
      </c>
      <c r="F6" s="17" t="n">
        <v>2</v>
      </c>
      <c r="G6" s="17" t="inlineStr">
        <is>
          <t>Espaço OG 1 (dedicado, fora das 3 salas de DH)</t>
        </is>
      </c>
      <c r="H6" s="17" t="inlineStr">
        <is>
          <t>15-18</t>
        </is>
      </c>
      <c r="I6" s="17" t="inlineStr">
        <is>
          <t>DH 1 concluída</t>
        </is>
      </c>
      <c r="J6" s="7" t="inlineStr">
        <is>
          <t>Premissa provisória</t>
        </is>
      </c>
    </row>
    <row r="7" ht="18" customHeight="1">
      <c r="B7" s="15" t="inlineStr">
        <is>
          <t>OG 2</t>
        </is>
      </c>
      <c r="C7" s="72" t="n">
        <v>46276</v>
      </c>
      <c r="D7" s="72" t="n">
        <v>46279</v>
      </c>
      <c r="E7" s="17" t="inlineStr">
        <is>
          <t>4h</t>
        </is>
      </c>
      <c r="F7" s="17" t="n">
        <v>2</v>
      </c>
      <c r="G7" s="17" t="inlineStr">
        <is>
          <t>Espaço OG 2 (dedicado, fora das 3 salas de DH)</t>
        </is>
      </c>
      <c r="H7" s="17" t="inlineStr">
        <is>
          <t>15-18</t>
        </is>
      </c>
      <c r="I7" s="17" t="inlineStr">
        <is>
          <t>DH 2 concluída</t>
        </is>
      </c>
      <c r="J7" s="7" t="inlineStr">
        <is>
          <t>Premissa provisória</t>
        </is>
      </c>
    </row>
    <row r="8" ht="18" customHeight="1">
      <c r="B8" s="15" t="inlineStr">
        <is>
          <t>OG 3</t>
        </is>
      </c>
      <c r="C8" s="72" t="n">
        <v>46276</v>
      </c>
      <c r="D8" s="72" t="n">
        <v>46279</v>
      </c>
      <c r="E8" s="17" t="inlineStr">
        <is>
          <t>4h</t>
        </is>
      </c>
      <c r="F8" s="17" t="n">
        <v>2</v>
      </c>
      <c r="G8" s="17" t="inlineStr">
        <is>
          <t>Espaço OG 3 (dedicado, fora das 3 salas de DH)</t>
        </is>
      </c>
      <c r="H8" s="17" t="inlineStr">
        <is>
          <t>15-18</t>
        </is>
      </c>
      <c r="I8" s="17" t="inlineStr">
        <is>
          <t>DH 3 concluída</t>
        </is>
      </c>
      <c r="J8" s="7" t="inlineStr">
        <is>
          <t>Premissa provisória</t>
        </is>
      </c>
    </row>
    <row r="9" ht="18" customHeight="1">
      <c r="B9" s="15" t="inlineStr">
        <is>
          <t>OG 4</t>
        </is>
      </c>
      <c r="C9" s="72" t="n">
        <v>46293</v>
      </c>
      <c r="D9" s="72" t="n">
        <v>46294</v>
      </c>
      <c r="E9" s="17" t="inlineStr">
        <is>
          <t>4h</t>
        </is>
      </c>
      <c r="F9" s="17" t="n">
        <v>2</v>
      </c>
      <c r="G9" s="17" t="inlineStr">
        <is>
          <t>Espaço OG 1 (dedicado, fora das 3 salas de DH)</t>
        </is>
      </c>
      <c r="H9" s="17" t="inlineStr">
        <is>
          <t>15-18</t>
        </is>
      </c>
      <c r="I9" s="17" t="inlineStr">
        <is>
          <t>DH 4 concluída</t>
        </is>
      </c>
      <c r="J9" s="7" t="inlineStr">
        <is>
          <t>Premissa provisória</t>
        </is>
      </c>
    </row>
    <row r="10" ht="18" customHeight="1">
      <c r="B10" s="15" t="inlineStr">
        <is>
          <t>OG 5</t>
        </is>
      </c>
      <c r="C10" s="72" t="n">
        <v>46293</v>
      </c>
      <c r="D10" s="72" t="n">
        <v>46294</v>
      </c>
      <c r="E10" s="17" t="inlineStr">
        <is>
          <t>4h</t>
        </is>
      </c>
      <c r="F10" s="17" t="n">
        <v>2</v>
      </c>
      <c r="G10" s="17" t="inlineStr">
        <is>
          <t>Espaço OG 2 (dedicado, fora das 3 salas de DH)</t>
        </is>
      </c>
      <c r="H10" s="17" t="inlineStr">
        <is>
          <t>15-18</t>
        </is>
      </c>
      <c r="I10" s="17" t="inlineStr">
        <is>
          <t>DH 5 concluída</t>
        </is>
      </c>
      <c r="J10" s="7" t="inlineStr">
        <is>
          <t>Premissa provisória</t>
        </is>
      </c>
    </row>
    <row r="11" ht="18" customHeight="1">
      <c r="B11" s="15" t="inlineStr">
        <is>
          <t>OG 6</t>
        </is>
      </c>
      <c r="C11" s="72" t="n">
        <v>46293</v>
      </c>
      <c r="D11" s="72" t="n">
        <v>46294</v>
      </c>
      <c r="E11" s="17" t="inlineStr">
        <is>
          <t>4h</t>
        </is>
      </c>
      <c r="F11" s="17" t="n">
        <v>2</v>
      </c>
      <c r="G11" s="17" t="inlineStr">
        <is>
          <t>Espaço OG 3 (dedicado, fora das 3 salas de DH)</t>
        </is>
      </c>
      <c r="H11" s="17" t="inlineStr">
        <is>
          <t>15-18</t>
        </is>
      </c>
      <c r="I11" s="17" t="inlineStr">
        <is>
          <t>DH 6 concluída</t>
        </is>
      </c>
      <c r="J11" s="7" t="inlineStr">
        <is>
          <t>Premissa provisória</t>
        </is>
      </c>
    </row>
    <row r="12" ht="18" customHeight="1">
      <c r="B12" s="15" t="inlineStr">
        <is>
          <t>OG 7</t>
        </is>
      </c>
      <c r="C12" s="72" t="n">
        <v>46308</v>
      </c>
      <c r="D12" s="72" t="n">
        <v>46309</v>
      </c>
      <c r="E12" s="17" t="inlineStr">
        <is>
          <t>4h</t>
        </is>
      </c>
      <c r="F12" s="17" t="n">
        <v>2</v>
      </c>
      <c r="G12" s="17" t="inlineStr">
        <is>
          <t>Espaço OG 1 (dedicado, fora das 3 salas de DH)</t>
        </is>
      </c>
      <c r="H12" s="17" t="inlineStr">
        <is>
          <t>15-18</t>
        </is>
      </c>
      <c r="I12" s="17" t="inlineStr">
        <is>
          <t>DH 7 concluída</t>
        </is>
      </c>
      <c r="J12" s="7" t="inlineStr">
        <is>
          <t>Premissa provisória</t>
        </is>
      </c>
    </row>
    <row r="13" ht="18" customHeight="1">
      <c r="B13" s="15" t="inlineStr">
        <is>
          <t>OG 8</t>
        </is>
      </c>
      <c r="C13" s="72" t="n">
        <v>46308</v>
      </c>
      <c r="D13" s="72" t="n">
        <v>46309</v>
      </c>
      <c r="E13" s="17" t="inlineStr">
        <is>
          <t>4h</t>
        </is>
      </c>
      <c r="F13" s="17" t="n">
        <v>2</v>
      </c>
      <c r="G13" s="17" t="inlineStr">
        <is>
          <t>Espaço OG 2 (dedicado, fora das 3 salas de DH)</t>
        </is>
      </c>
      <c r="H13" s="17" t="inlineStr">
        <is>
          <t>15-18</t>
        </is>
      </c>
      <c r="I13" s="17" t="inlineStr">
        <is>
          <t>DH 8 concluída</t>
        </is>
      </c>
      <c r="J13" s="7" t="inlineStr">
        <is>
          <t>Premissa provisória</t>
        </is>
      </c>
    </row>
    <row r="14" ht="18" customHeight="1">
      <c r="B14" s="15" t="inlineStr">
        <is>
          <t>OG 9</t>
        </is>
      </c>
      <c r="C14" s="72" t="n">
        <v>46308</v>
      </c>
      <c r="D14" s="72" t="n">
        <v>46309</v>
      </c>
      <c r="E14" s="17" t="inlineStr">
        <is>
          <t>4h</t>
        </is>
      </c>
      <c r="F14" s="17" t="n">
        <v>2</v>
      </c>
      <c r="G14" s="17" t="inlineStr">
        <is>
          <t>Espaço OG 3 (dedicado, fora das 3 salas de DH)</t>
        </is>
      </c>
      <c r="H14" s="17" t="inlineStr">
        <is>
          <t>15-18</t>
        </is>
      </c>
      <c r="I14" s="17" t="inlineStr">
        <is>
          <t>DH 9 concluída</t>
        </is>
      </c>
      <c r="J14" s="7" t="inlineStr">
        <is>
          <t>Premissa provisória</t>
        </is>
      </c>
    </row>
    <row r="15" ht="18" customHeight="1">
      <c r="B15" s="15" t="inlineStr">
        <is>
          <t>OG 10</t>
        </is>
      </c>
      <c r="C15" s="72" t="n">
        <v>46322</v>
      </c>
      <c r="D15" s="72" t="n">
        <v>46323</v>
      </c>
      <c r="E15" s="17" t="inlineStr">
        <is>
          <t>4h</t>
        </is>
      </c>
      <c r="F15" s="17" t="n">
        <v>2</v>
      </c>
      <c r="G15" s="17" t="inlineStr">
        <is>
          <t>Espaço OG 1 (dedicado, fora das 3 salas de DH)</t>
        </is>
      </c>
      <c r="H15" s="17" t="inlineStr">
        <is>
          <t>15-18</t>
        </is>
      </c>
      <c r="I15" s="17" t="inlineStr">
        <is>
          <t>DH 10 concluída</t>
        </is>
      </c>
      <c r="J15" s="7" t="inlineStr">
        <is>
          <t>Premissa provisória</t>
        </is>
      </c>
    </row>
    <row r="16" ht="18" customHeight="1">
      <c r="B16" s="15" t="inlineStr">
        <is>
          <t>OG 11</t>
        </is>
      </c>
      <c r="C16" s="72" t="n">
        <v>46322</v>
      </c>
      <c r="D16" s="72" t="n">
        <v>46323</v>
      </c>
      <c r="E16" s="17" t="inlineStr">
        <is>
          <t>4h</t>
        </is>
      </c>
      <c r="F16" s="17" t="n">
        <v>2</v>
      </c>
      <c r="G16" s="17" t="inlineStr">
        <is>
          <t>Espaço OG 2 (dedicado, fora das 3 salas de DH)</t>
        </is>
      </c>
      <c r="H16" s="17" t="inlineStr">
        <is>
          <t>15-18</t>
        </is>
      </c>
      <c r="I16" s="17" t="inlineStr">
        <is>
          <t>DH 11 concluída</t>
        </is>
      </c>
      <c r="J16" s="7" t="inlineStr">
        <is>
          <t>Premissa provisória</t>
        </is>
      </c>
    </row>
    <row r="17" ht="18" customHeight="1">
      <c r="B17" s="15" t="inlineStr">
        <is>
          <t>OG 12</t>
        </is>
      </c>
      <c r="C17" s="72" t="n">
        <v>46322</v>
      </c>
      <c r="D17" s="72" t="n">
        <v>46323</v>
      </c>
      <c r="E17" s="17" t="inlineStr">
        <is>
          <t>4h</t>
        </is>
      </c>
      <c r="F17" s="17" t="n">
        <v>2</v>
      </c>
      <c r="G17" s="17" t="inlineStr">
        <is>
          <t>Espaço OG 3 (dedicado, fora das 3 salas de DH)</t>
        </is>
      </c>
      <c r="H17" s="17" t="inlineStr">
        <is>
          <t>15-18</t>
        </is>
      </c>
      <c r="I17" s="17" t="inlineStr">
        <is>
          <t>DH 12 concluída</t>
        </is>
      </c>
      <c r="J17" s="7" t="inlineStr">
        <is>
          <t>Premissa provisória</t>
        </is>
      </c>
    </row>
    <row r="18" ht="18" customHeight="1">
      <c r="B18" s="15" t="inlineStr">
        <is>
          <t>OG 13</t>
        </is>
      </c>
      <c r="C18" s="72" t="n">
        <v>46337</v>
      </c>
      <c r="D18" s="72" t="n">
        <v>46338</v>
      </c>
      <c r="E18" s="17" t="inlineStr">
        <is>
          <t>4h</t>
        </is>
      </c>
      <c r="F18" s="17" t="n">
        <v>2</v>
      </c>
      <c r="G18" s="17" t="inlineStr">
        <is>
          <t>Espaço OG 1 (dedicado, fora das 3 salas de DH)</t>
        </is>
      </c>
      <c r="H18" s="17" t="inlineStr">
        <is>
          <t>15-18</t>
        </is>
      </c>
      <c r="I18" s="17" t="inlineStr">
        <is>
          <t>DH 13 concluída</t>
        </is>
      </c>
      <c r="J18" s="7" t="inlineStr">
        <is>
          <t>Premissa provisória</t>
        </is>
      </c>
    </row>
    <row r="19" ht="18" customHeight="1">
      <c r="B19" s="15" t="inlineStr">
        <is>
          <t>OG 14</t>
        </is>
      </c>
      <c r="C19" s="72" t="n">
        <v>46337</v>
      </c>
      <c r="D19" s="72" t="n">
        <v>46338</v>
      </c>
      <c r="E19" s="17" t="inlineStr">
        <is>
          <t>4h</t>
        </is>
      </c>
      <c r="F19" s="17" t="n">
        <v>2</v>
      </c>
      <c r="G19" s="17" t="inlineStr">
        <is>
          <t>Espaço OG 2 (dedicado, fora das 3 salas de DH)</t>
        </is>
      </c>
      <c r="H19" s="17" t="inlineStr">
        <is>
          <t>15-18</t>
        </is>
      </c>
      <c r="I19" s="17" t="inlineStr">
        <is>
          <t>DH 14 concluída</t>
        </is>
      </c>
      <c r="J19" s="7" t="inlineStr">
        <is>
          <t>Premissa provisória</t>
        </is>
      </c>
    </row>
    <row r="20" ht="18" customHeight="1">
      <c r="B20" s="15" t="inlineStr">
        <is>
          <t>OG 15</t>
        </is>
      </c>
      <c r="C20" s="72" t="n">
        <v>46337</v>
      </c>
      <c r="D20" s="72" t="n">
        <v>46338</v>
      </c>
      <c r="E20" s="17" t="inlineStr">
        <is>
          <t>4h</t>
        </is>
      </c>
      <c r="F20" s="17" t="n">
        <v>2</v>
      </c>
      <c r="G20" s="17" t="inlineStr">
        <is>
          <t>Espaço OG 3 (dedicado, fora das 3 salas de DH)</t>
        </is>
      </c>
      <c r="H20" s="17" t="inlineStr">
        <is>
          <t>15-18</t>
        </is>
      </c>
      <c r="I20" s="17" t="inlineStr">
        <is>
          <t>DH 15 concluída</t>
        </is>
      </c>
      <c r="J20" s="7" t="inlineStr">
        <is>
          <t>Premissa provisória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5395"/>
    <outlinePr summaryBelow="1" summaryRight="1"/>
    <pageSetUpPr/>
  </sheetPr>
  <dimension ref="B2:K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26" customWidth="1" min="10" max="10"/>
    <col width="34" customWidth="1" min="11" max="11"/>
    <col width="3" customWidth="1" min="12" max="12"/>
  </cols>
  <sheetData>
    <row r="2" ht="28" customHeight="1">
      <c r="B2" s="1" t="inlineStr">
        <is>
          <t>CURSOS TÉCNICOS (CT) — DETALHAMENTO DE TURMAS</t>
        </is>
      </c>
    </row>
    <row r="3">
      <c r="B3" s="2" t="inlineStr">
        <is>
          <t>10 turmas confirmadas na planilha operacional. Meta contratual do PDF macro é 13 — faltam 3 turmas a definir (ver aba 02).</t>
        </is>
      </c>
    </row>
    <row r="5" ht="30" customHeight="1">
      <c r="B5" s="18" t="inlineStr">
        <is>
          <t>Sigla</t>
        </is>
      </c>
      <c r="C5" s="18" t="inlineStr">
        <is>
          <t>Tema</t>
        </is>
      </c>
      <c r="D5" s="18" t="inlineStr">
        <is>
          <t>Início</t>
        </is>
      </c>
      <c r="E5" s="18" t="inlineStr">
        <is>
          <t>Término</t>
        </is>
      </c>
      <c r="F5" s="18" t="inlineStr">
        <is>
          <t>Carga
horária</t>
        </is>
      </c>
      <c r="G5" s="18" t="inlineStr">
        <is>
          <t>Encontros</t>
        </is>
      </c>
      <c r="H5" s="18" t="inlineStr">
        <is>
          <t>Mín.</t>
        </is>
      </c>
      <c r="I5" s="18" t="inlineStr">
        <is>
          <t>Máx.</t>
        </is>
      </c>
      <c r="J5" s="18" t="inlineStr">
        <is>
          <t>Fornecedor / Local</t>
        </is>
      </c>
      <c r="K5" s="18" t="inlineStr">
        <is>
          <t>Predecessora / Situação</t>
        </is>
      </c>
    </row>
    <row r="6" ht="30" customHeight="1">
      <c r="B6" s="15" t="inlineStr">
        <is>
          <t>CT1a</t>
        </is>
      </c>
      <c r="C6" s="6" t="inlineStr">
        <is>
          <t>Corte e Costura</t>
        </is>
      </c>
      <c r="D6" s="72" t="n">
        <v>46293</v>
      </c>
      <c r="E6" s="72" t="n">
        <v>46302</v>
      </c>
      <c r="F6" s="17" t="inlineStr">
        <is>
          <t>32h</t>
        </is>
      </c>
      <c r="G6" s="17" t="n">
        <v>8</v>
      </c>
      <c r="H6" s="17" t="n">
        <v>15</v>
      </c>
      <c r="I6" s="17" t="n">
        <v>18</v>
      </c>
      <c r="J6" s="6" t="inlineStr">
        <is>
          <t>Fundo Social / SENAI</t>
        </is>
      </c>
      <c r="K6" s="73" t="inlineStr">
        <is>
          <t>4ª turma de DH concluída em 28/09/2026 (premissa: gatilho após 4 DH + 1 semana)</t>
        </is>
      </c>
    </row>
    <row r="7" ht="30" customHeight="1">
      <c r="B7" s="15" t="inlineStr">
        <is>
          <t>CT1b</t>
        </is>
      </c>
      <c r="C7" s="6" t="inlineStr">
        <is>
          <t>Corte e Costura</t>
        </is>
      </c>
      <c r="D7" s="72" t="n">
        <v>46308</v>
      </c>
      <c r="E7" s="72" t="n">
        <v>46317</v>
      </c>
      <c r="F7" s="17" t="inlineStr">
        <is>
          <t>32h</t>
        </is>
      </c>
      <c r="G7" s="17" t="n">
        <v>8</v>
      </c>
      <c r="H7" s="17" t="n">
        <v>15</v>
      </c>
      <c r="I7" s="17" t="n">
        <v>18</v>
      </c>
      <c r="J7" s="6" t="inlineStr">
        <is>
          <t>Fundo Social / SENAI</t>
        </is>
      </c>
      <c r="K7" s="73" t="inlineStr">
        <is>
          <t>4ª turma de DH concluída em 28/09/2026 (premissa: gatilho após 4 DH + 1 semana)</t>
        </is>
      </c>
    </row>
    <row r="8" ht="30" customHeight="1">
      <c r="B8" s="15" t="inlineStr">
        <is>
          <t>CT3</t>
        </is>
      </c>
      <c r="C8" s="6" t="inlineStr">
        <is>
          <t>Beleza / Unhas</t>
        </is>
      </c>
      <c r="D8" s="72" t="n">
        <v>46321</v>
      </c>
      <c r="E8" s="72" t="n">
        <v>46335</v>
      </c>
      <c r="F8" s="17" t="inlineStr">
        <is>
          <t>40h</t>
        </is>
      </c>
      <c r="G8" s="17" t="n">
        <v>10</v>
      </c>
      <c r="H8" s="17" t="n">
        <v>15</v>
      </c>
      <c r="I8" s="17" t="n">
        <v>18</v>
      </c>
      <c r="J8" s="6" t="inlineStr">
        <is>
          <t>Fundo Social / SENAC</t>
        </is>
      </c>
      <c r="K8" s="73" t="inlineStr">
        <is>
          <t>4ª turma de DH concluída em 28/09/2026 (premissa: gatilho após 4 DH + 1 semana)</t>
        </is>
      </c>
    </row>
    <row r="9" ht="30" customHeight="1">
      <c r="B9" s="15" t="inlineStr">
        <is>
          <t>CT5</t>
        </is>
      </c>
      <c r="C9" s="6" t="inlineStr">
        <is>
          <t>Beleza / Cabelos Cacheados e Crespos</t>
        </is>
      </c>
      <c r="D9" s="72" t="n">
        <v>46338</v>
      </c>
      <c r="E9" s="72" t="n">
        <v>46358</v>
      </c>
      <c r="F9" s="17" t="inlineStr">
        <is>
          <t>56h</t>
        </is>
      </c>
      <c r="G9" s="17" t="n">
        <v>14</v>
      </c>
      <c r="H9" s="17" t="n">
        <v>15</v>
      </c>
      <c r="I9" s="17" t="n">
        <v>18</v>
      </c>
      <c r="J9" s="6" t="inlineStr">
        <is>
          <t>Fundo Social / SENAC</t>
        </is>
      </c>
      <c r="K9" s="73" t="inlineStr">
        <is>
          <t>4ª turma de DH concluída em 28/09/2026 (premissa: gatilho após 4 DH + 1 semana)</t>
        </is>
      </c>
    </row>
    <row r="10" ht="30" customHeight="1">
      <c r="B10" s="15" t="inlineStr">
        <is>
          <t>CT4a</t>
        </is>
      </c>
      <c r="C10" s="6" t="inlineStr">
        <is>
          <t>Preparacao de Alimentos</t>
        </is>
      </c>
      <c r="D10" s="72" t="n">
        <v>46363</v>
      </c>
      <c r="E10" s="72" t="n">
        <v>46401</v>
      </c>
      <c r="F10" s="17" t="inlineStr">
        <is>
          <t>56h</t>
        </is>
      </c>
      <c r="G10" s="17" t="n">
        <v>14</v>
      </c>
      <c r="H10" s="17" t="n">
        <v>15</v>
      </c>
      <c r="I10" s="17" t="n">
        <v>18</v>
      </c>
      <c r="J10" s="6" t="inlineStr">
        <is>
          <t>Fundo Social / SENAC</t>
        </is>
      </c>
      <c r="K10" s="73" t="inlineStr">
        <is>
          <t>4ª turma de DH concluída em 28/09/2026 (premissa: gatilho após 4 DH + 1 semana)</t>
        </is>
      </c>
    </row>
    <row r="11" ht="30" customHeight="1">
      <c r="B11" s="15" t="inlineStr">
        <is>
          <t>CT4b</t>
        </is>
      </c>
      <c r="C11" s="6" t="inlineStr">
        <is>
          <t>Preparacao de Alimentos</t>
        </is>
      </c>
      <c r="D11" s="72" t="n">
        <v>46405</v>
      </c>
      <c r="E11" s="72" t="n">
        <v>46422</v>
      </c>
      <c r="F11" s="17" t="inlineStr">
        <is>
          <t>56h</t>
        </is>
      </c>
      <c r="G11" s="17" t="n">
        <v>14</v>
      </c>
      <c r="H11" s="17" t="n">
        <v>15</v>
      </c>
      <c r="I11" s="17" t="n">
        <v>18</v>
      </c>
      <c r="J11" s="6" t="inlineStr">
        <is>
          <t>Fundo Social / SENAC</t>
        </is>
      </c>
      <c r="K11" s="73" t="inlineStr">
        <is>
          <t>4ª turma de DH concluída em 28/09/2026 (premissa: gatilho após 4 DH + 1 semana)</t>
        </is>
      </c>
    </row>
    <row r="12" ht="30" customHeight="1">
      <c r="B12" s="15" t="inlineStr">
        <is>
          <t>CT7a</t>
        </is>
      </c>
      <c r="C12" s="6" t="inlineStr">
        <is>
          <t>Eletrica</t>
        </is>
      </c>
      <c r="D12" s="72" t="n">
        <v>46293</v>
      </c>
      <c r="E12" s="72" t="n">
        <v>46321</v>
      </c>
      <c r="F12" s="17" t="inlineStr">
        <is>
          <t>80h</t>
        </is>
      </c>
      <c r="G12" s="17" t="n">
        <v>20</v>
      </c>
      <c r="H12" s="17" t="n">
        <v>14</v>
      </c>
      <c r="I12" s="17" t="n">
        <v>16</v>
      </c>
      <c r="J12" s="6" t="inlineStr">
        <is>
          <t>SENAI Paulinia</t>
        </is>
      </c>
      <c r="K12" s="73" t="inlineStr">
        <is>
          <t>4ª turma de DH concluída em 28/09/2026 (premissa: gatilho após 4 DH + 1 semana)</t>
        </is>
      </c>
    </row>
    <row r="13" ht="30" customHeight="1">
      <c r="B13" s="15" t="inlineStr">
        <is>
          <t>CT7b</t>
        </is>
      </c>
      <c r="C13" s="6" t="inlineStr">
        <is>
          <t>Eletrica</t>
        </is>
      </c>
      <c r="D13" s="72" t="n">
        <v>46324</v>
      </c>
      <c r="E13" s="72" t="n">
        <v>46353</v>
      </c>
      <c r="F13" s="17" t="inlineStr">
        <is>
          <t>80h</t>
        </is>
      </c>
      <c r="G13" s="17" t="n">
        <v>20</v>
      </c>
      <c r="H13" s="17" t="n">
        <v>14</v>
      </c>
      <c r="I13" s="17" t="n">
        <v>16</v>
      </c>
      <c r="J13" s="6" t="inlineStr">
        <is>
          <t>SENAI Paulinia</t>
        </is>
      </c>
      <c r="K13" s="73" t="inlineStr">
        <is>
          <t>4ª turma de DH concluída em 28/09/2026 (premissa: gatilho após 4 DH + 1 semana)</t>
        </is>
      </c>
    </row>
    <row r="14" ht="30" customHeight="1">
      <c r="B14" s="15" t="inlineStr">
        <is>
          <t>CT6</t>
        </is>
      </c>
      <c r="C14" s="6" t="inlineStr">
        <is>
          <t>Automacao</t>
        </is>
      </c>
      <c r="D14" s="72" t="n">
        <v>46356</v>
      </c>
      <c r="E14" s="72" t="n">
        <v>46402</v>
      </c>
      <c r="F14" s="17" t="inlineStr">
        <is>
          <t>80h</t>
        </is>
      </c>
      <c r="G14" s="17" t="n">
        <v>20</v>
      </c>
      <c r="H14" s="17" t="n">
        <v>14</v>
      </c>
      <c r="I14" s="17" t="n">
        <v>16</v>
      </c>
      <c r="J14" s="6" t="inlineStr">
        <is>
          <t>SENAI Paulinia</t>
        </is>
      </c>
      <c r="K14" s="73" t="inlineStr">
        <is>
          <t>4ª turma de DH concluída em 28/09/2026 (premissa: gatilho após 4 DH + 1 semana)</t>
        </is>
      </c>
    </row>
    <row r="15" ht="30" customHeight="1">
      <c r="B15" s="15" t="inlineStr">
        <is>
          <t>CT2</t>
        </is>
      </c>
      <c r="C15" s="6" t="inlineStr">
        <is>
          <t>Jardinagem</t>
        </is>
      </c>
      <c r="D15" s="72" t="n">
        <v>46293</v>
      </c>
      <c r="E15" s="72" t="n">
        <v>46304</v>
      </c>
      <c r="F15" s="17" t="inlineStr">
        <is>
          <t>40h</t>
        </is>
      </c>
      <c r="G15" s="17" t="n">
        <v>10</v>
      </c>
      <c r="H15" s="17" t="n">
        <v>15</v>
      </c>
      <c r="I15" s="17" t="n">
        <v>18</v>
      </c>
      <c r="J15" s="88" t="inlineStr">
        <is>
          <t>? (fornecedor nao confirmado)</t>
        </is>
      </c>
      <c r="K15" s="73" t="inlineStr">
        <is>
          <t>4ª turma de DH concluída em 28/09/2026 (premissa: gatilho após 4 DH + 1 semana)</t>
        </is>
      </c>
    </row>
    <row r="17" ht="34" customHeight="1">
      <c r="B17" s="89" t="inlineStr">
        <is>
          <t>PENDENTE DE VALIDAÇÃO: 3 turmas adicionais necessárias para atingir a meta contratual de 13 turmas do PDF macro (Núcleo 2). Temas e fornecedores não definidos neste material — recomenda-se priorizar cursos com maior demanda identificada no diagnóstico de participantes.</t>
        </is>
      </c>
    </row>
  </sheetData>
  <mergeCells count="3">
    <mergeCell ref="B17:K17"/>
    <mergeCell ref="B3:K3"/>
    <mergeCell ref="B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E5395"/>
    <outlinePr summaryBelow="1" summaryRight="1"/>
    <pageSetUpPr/>
  </sheetPr>
  <dimension ref="B2:F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40" customWidth="1" min="6" max="6"/>
    <col width="3" customWidth="1" min="7" max="7"/>
  </cols>
  <sheetData>
    <row r="2" ht="28" customHeight="1">
      <c r="B2" s="1" t="inlineStr">
        <is>
          <t>CURSO EAD E CONSULTORIA INDIVIDUAL (CI)</t>
        </is>
      </c>
    </row>
    <row r="3">
      <c r="B3" s="2" t="inlineStr">
        <is>
          <t>Etapas finais da trilha — Curso Técnico é pré-requisito para Consultoria Individual (confirmado no PDF macro)</t>
        </is>
      </c>
    </row>
    <row r="5" ht="30" customHeight="1">
      <c r="B5" s="18" t="inlineStr">
        <is>
          <t>Atividade</t>
        </is>
      </c>
      <c r="C5" s="18" t="inlineStr">
        <is>
          <t>Início</t>
        </is>
      </c>
      <c r="D5" s="18" t="inlineStr">
        <is>
          <t>Término</t>
        </is>
      </c>
      <c r="E5" s="18" t="inlineStr">
        <is>
          <t>Carga horária / Meta</t>
        </is>
      </c>
      <c r="F5" s="18" t="inlineStr">
        <is>
          <t>Observação</t>
        </is>
      </c>
    </row>
    <row r="6" ht="30" customHeight="1">
      <c r="B6" s="15" t="inlineStr">
        <is>
          <t>Curso EAD — Planejamento, Marketing e Finanças</t>
        </is>
      </c>
      <c r="C6" s="72" t="n">
        <v>46303</v>
      </c>
      <c r="D6" s="72" t="n">
        <v>46308</v>
      </c>
      <c r="E6" s="17" t="inlineStr">
        <is>
          <t>6h / 3 módulos</t>
        </is>
      </c>
      <c r="F6" s="6" t="inlineStr">
        <is>
          <t>Início estimado logo após a conclusão do primeiro Curso Técnico de cada trilha (autoinstrucional)</t>
        </is>
      </c>
    </row>
    <row r="7" ht="40" customHeight="1">
      <c r="B7" s="15" t="inlineStr">
        <is>
          <t>Consultoria Individual (CI)</t>
        </is>
      </c>
      <c r="C7" s="72" t="n">
        <v>46309</v>
      </c>
      <c r="D7" s="72" t="n">
        <v>46452</v>
      </c>
      <c r="E7" s="17" t="inlineStr">
        <is>
          <t>3 atendimentos/pessoa; meta 150 pessoas</t>
        </is>
      </c>
      <c r="F7" s="6" t="inlineStr">
        <is>
          <t>Rolling: inicia conforme cada aluno conclui seu Curso Técnico. Meta cruzada entre nota da planilha operacional (450 atend./3) e PDF macro (13 turmas = 150 pessoas).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392B"/>
    <outlinePr summaryBelow="1" summaryRight="1"/>
    <pageSetUpPr/>
  </sheetPr>
  <dimension ref="B2:H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22" customWidth="1" min="4" max="4"/>
    <col width="26" customWidth="1" min="5" max="5"/>
    <col width="16" customWidth="1" min="6" max="6"/>
    <col width="14" customWidth="1" min="7" max="7"/>
    <col width="26" customWidth="1" min="8" max="8"/>
    <col width="3" customWidth="1" min="9" max="9"/>
  </cols>
  <sheetData>
    <row r="2" ht="28" customHeight="1">
      <c r="B2" s="1" t="inlineStr">
        <is>
          <t>RISCOS, DIVERGÊNCIAS E DECISÕES PENDENTES</t>
        </is>
      </c>
    </row>
    <row r="3">
      <c r="B3" s="2" t="inlineStr">
        <is>
          <t>Quadro consolidado para acompanhamento com Instituto da Criança, Sebrae e Petrobras</t>
        </is>
      </c>
    </row>
    <row r="5" ht="30" customHeight="1">
      <c r="B5" s="18" t="inlineStr">
        <is>
          <t>Risco / Divergência</t>
        </is>
      </c>
      <c r="C5" s="18" t="inlineStr">
        <is>
          <t>Documentos envolvidos</t>
        </is>
      </c>
      <c r="D5" s="18" t="inlineStr">
        <is>
          <t>Impacto no cronograma</t>
        </is>
      </c>
      <c r="E5" s="18" t="inlineStr">
        <is>
          <t>Decisão necessária</t>
        </is>
      </c>
      <c r="F5" s="18" t="inlineStr">
        <is>
          <t>Responsável pela validação</t>
        </is>
      </c>
      <c r="G5" s="18" t="inlineStr">
        <is>
          <t>Status</t>
        </is>
      </c>
      <c r="H5" s="18" t="inlineStr">
        <is>
          <t>Recomendação provisória</t>
        </is>
      </c>
    </row>
    <row r="6" ht="75" customHeight="1">
      <c r="B6" s="19" t="inlineStr">
        <is>
          <t>Carga horária do DH indefinida (20h x 22h)</t>
        </is>
      </c>
      <c r="C6" s="6" t="inlineStr">
        <is>
          <t>Proposta (xlsx) + PDF macro vs. ata de reunião</t>
        </is>
      </c>
      <c r="D6" s="6" t="inlineStr">
        <is>
          <t>Muda a duração de cada uma das 15 turmas em até 1 semana, deslocando toda a cadeia OG→CT→EAD→CI.</t>
        </is>
      </c>
      <c r="E6" s="6" t="inlineStr">
        <is>
          <t>Confirmar por escrito a carga horária oficial do DH junto ao Sebrae.</t>
        </is>
      </c>
      <c r="F6" s="75" t="inlineStr">
        <is>
          <t>Coordenação / Sebrae</t>
        </is>
      </c>
      <c r="G6" s="90" t="inlineStr">
        <is>
          <t>Aberto</t>
        </is>
      </c>
      <c r="H6" s="6" t="inlineStr">
        <is>
          <t>Formalizar 20h por e-mail/ata assinada antes de comunicar datas à Petrobras.</t>
        </is>
      </c>
    </row>
    <row r="7" ht="75" customHeight="1">
      <c r="B7" s="19" t="inlineStr">
        <is>
          <t>Quantidade de turmas de Curso Técnico indefinida (10 x 13)</t>
        </is>
      </c>
      <c r="C7" s="6" t="inlineStr">
        <is>
          <t>Proposta (xlsx) vs. PDF macro</t>
        </is>
      </c>
      <c r="D7" s="6" t="inlineStr">
        <is>
          <t>Se 13 for a meta válida, é preciso contratar 3 novos fornecedores/turmas, o que pode adicionar 4-8 semanas ao cronograma de CT.</t>
        </is>
      </c>
      <c r="E7" s="6" t="inlineStr">
        <is>
          <t>Definir se a meta de 13 será cumprida em Paulínia e, em caso positivo, quais temas/fornecedores fecham a diferença.</t>
        </is>
      </c>
      <c r="F7" s="75" t="inlineStr">
        <is>
          <t>Coordenação / Instituto da Criança</t>
        </is>
      </c>
      <c r="G7" s="90" t="inlineStr">
        <is>
          <t>Aberto</t>
        </is>
      </c>
      <c r="H7" s="6" t="inlineStr">
        <is>
          <t>Levar a divergência à reunião de alinhamento com o Sebrae antes de fechar contratos.</t>
        </is>
      </c>
    </row>
    <row r="8" ht="75" customHeight="1">
      <c r="B8" s="19" t="inlineStr">
        <is>
          <t>Disponibilidade real de salas (2 x 3) não confirmada</t>
        </is>
      </c>
      <c r="C8" s="6" t="inlineStr">
        <is>
          <t>"Possibilidades de Cronograma" (3 salas) vs. briefing (2 ou 3)</t>
        </is>
      </c>
      <c r="D8" s="6" t="inlineStr">
        <is>
          <t>É a variável que mais impacta a duração da fase DH: 73 dias (cenário recomendado, 3 salas) até 169 dias (cenário C, 2 salas).</t>
        </is>
      </c>
      <c r="E8" s="6" t="inlineStr">
        <is>
          <t>Confirmar contratualmente a disponibilidade exclusiva de 3 salas à noite, de segunda a sexta.</t>
        </is>
      </c>
      <c r="F8" s="75" t="inlineStr">
        <is>
          <t>Coordenação local / Espaço físico</t>
        </is>
      </c>
      <c r="G8" s="90" t="inlineStr">
        <is>
          <t>Aberto</t>
        </is>
      </c>
      <c r="H8" s="6" t="inlineStr">
        <is>
          <t>Adotar o Cenário B como referência de negociação, mas manter D como contingência caso só 2 salas sejam viabilizadas.</t>
        </is>
      </c>
    </row>
    <row r="9" ht="75" customHeight="1">
      <c r="B9" s="19" t="inlineStr">
        <is>
          <t>Regra de composição da Oficina de Gestão (15 x ~7-8 turmas)</t>
        </is>
      </c>
      <c r="C9" s="6" t="inlineStr">
        <is>
          <t>Proposta (xlsx), linha J5 vs. anotação A28</t>
        </is>
      </c>
      <c r="D9" s="6" t="inlineStr">
        <is>
          <t>Dobra ou reduz pela metade a necessidade de salas/horários dedicados à OG.</t>
        </is>
      </c>
      <c r="E9" s="6" t="inlineStr">
        <is>
          <t>Confirmar se cada DH gera sua própria OG (1:1) ou se as OG são formadas a partir de pares de turmas de DH.</t>
        </is>
      </c>
      <c r="F9" s="75" t="inlineStr">
        <is>
          <t>Coordenação pedagógica</t>
        </is>
      </c>
      <c r="G9" s="90" t="inlineStr">
        <is>
          <t>Aberto</t>
        </is>
      </c>
      <c r="H9" s="6" t="inlineStr">
        <is>
          <t>Assumir 1:1 (15 turmas) como premissa de trabalho até confirmação, por ser a leitura mais conservadora em capacidade.</t>
        </is>
      </c>
    </row>
    <row r="10" ht="75" customHeight="1">
      <c r="B10" s="19" t="inlineStr">
        <is>
          <t>Fornecedor de Jardinagem não definido</t>
        </is>
      </c>
      <c r="C10" s="6" t="inlineStr">
        <is>
          <t>"Possibilidades de Cronograma", célula R48 = "?"</t>
        </is>
      </c>
      <c r="D10" s="6" t="inlineStr">
        <is>
          <t>Turma de Jardinagem não pode ser comunicada aos participantes sem fornecedor e local confirmados.</t>
        </is>
      </c>
      <c r="E10" s="6" t="inlineStr">
        <is>
          <t>Selecionar e contratar fornecedor para o curso de Jardinagem.</t>
        </is>
      </c>
      <c r="F10" s="75" t="inlineStr">
        <is>
          <t>Coordenação de parcerias</t>
        </is>
      </c>
      <c r="G10" s="90" t="inlineStr">
        <is>
          <t>Aberto</t>
        </is>
      </c>
      <c r="H10" s="6" t="inlineStr">
        <is>
          <t>Priorizar a definição nas próximas 4 semanas, antes da 4ª turma de DH concluir (gatilho do 1º Curso Técnico).</t>
        </is>
      </c>
    </row>
    <row r="11" ht="75" customHeight="1">
      <c r="B11" s="19" t="inlineStr">
        <is>
          <t>Recesso institucional não confirmado formalmente</t>
        </is>
      </c>
      <c r="C11" s="6" t="inlineStr">
        <is>
          <t>Simulação de cenários (premissa observada)</t>
        </is>
      </c>
      <c r="D11" s="6" t="inlineStr">
        <is>
          <t>Cenários que se estendem para dezembro/janeiro (C e D) podem precisar de ajuste fino de datas conforme o recesso real.</t>
        </is>
      </c>
      <c r="E11" s="6" t="inlineStr">
        <is>
          <t>Confirmar datas oficiais de recesso institucional 2026/2027.</t>
        </is>
      </c>
      <c r="F11" s="75" t="inlineStr">
        <is>
          <t>Administrativo / RH</t>
        </is>
      </c>
      <c r="G11" s="90" t="inlineStr">
        <is>
          <t>Aberto</t>
        </is>
      </c>
      <c r="H11" s="6" t="inlineStr">
        <is>
          <t>Manter 21/12/2026-08/01/2027 como premissa de planejamento; ajustar se o recesso oficial for diferente.</t>
        </is>
      </c>
    </row>
    <row r="12" ht="75" customHeight="1">
      <c r="B12" s="19" t="inlineStr">
        <is>
          <t>Prazo apertado até o início das Palestras</t>
        </is>
      </c>
      <c r="C12" s="6" t="inlineStr">
        <is>
          <t>Contexto do projeto — data atual 21/07/2026, início das PS em 11/08/2026</t>
        </is>
      </c>
      <c r="D12" s="6" t="inlineStr">
        <is>
          <t>Restam menos de 3 semanas até a primeira Palestra de Sensibilização; qualquer atraso na confirmação de salas/premissas comprime a mobilização.</t>
        </is>
      </c>
      <c r="E12" s="6" t="inlineStr">
        <is>
          <t>Validar premissas críticas (salas, carga horária do DH) com urgência.</t>
        </is>
      </c>
      <c r="F12" s="75" t="inlineStr">
        <is>
          <t>Coordenação geral do projeto</t>
        </is>
      </c>
      <c r="G12" s="91" t="inlineStr">
        <is>
          <t>Aberto — urgente</t>
        </is>
      </c>
      <c r="H12" s="6" t="inlineStr">
        <is>
          <t>Tratar as pendências desta aba como prioridade das próximas 2 semanas.</t>
        </is>
      </c>
    </row>
    <row r="13" ht="75" customHeight="1">
      <c r="B13" s="19" t="inlineStr">
        <is>
          <t>Quórum mínimo dos cursos técnicos variável (14-18) vs. referência única de 16 citada em reunião</t>
        </is>
      </c>
      <c r="C13" s="6" t="inlineStr">
        <is>
          <t>Proposta (xlsx) vs. ata de reunião</t>
        </is>
      </c>
      <c r="D13" s="6" t="inlineStr">
        <is>
          <t>Se 16 for aplicado a todos os cursos, turmas com quórum planejado de 14-15 podem não abrir.</t>
        </is>
      </c>
      <c r="E13" s="6" t="inlineStr">
        <is>
          <t>Confirmar quórum mínimo por fornecedor/curso, não um valor único.</t>
        </is>
      </c>
      <c r="F13" s="75" t="inlineStr">
        <is>
          <t>Coordenação de parcerias</t>
        </is>
      </c>
      <c r="G13" s="90" t="inlineStr">
        <is>
          <t>Aberto</t>
        </is>
      </c>
      <c r="H13" s="6" t="inlineStr">
        <is>
          <t>Negociar quórum por curso com cada fornecedor antes de divulgar datas.</t>
        </is>
      </c>
    </row>
    <row r="14" ht="75" customHeight="1">
      <c r="B14" s="19" t="inlineStr">
        <is>
          <t>ACHADO DESTA ANÁLISE: as 3 salas de DH ficam saturadas o tempo todo no cenário recomendado (B)</t>
        </is>
      </c>
      <c r="C14" s="6" t="inlineStr">
        <is>
          <t>Modelagem desta análise (nenhum dos 4 documentos originais havia cruzado a agenda de salas do DH com a da OG)</t>
        </is>
      </c>
      <c r="D14" s="6" t="inlineStr">
        <is>
          <t>No cenário B, cada uma das 3 salas de DH recebe 5 lotes consecutivos sem dia livre durante os 73 dias da fase — não há horário disponível na mesma sala para a Oficina de Gestão.</t>
        </is>
      </c>
      <c r="E14" s="6" t="inlineStr">
        <is>
          <t>Confirmar a existência de pelo menos 3 espaços adicionais (fora das salas de DH) para rodar a OG em paralelo, ou aceitar que a OG só comece após o fim de toda a fase DH (04/11).</t>
        </is>
      </c>
      <c r="F14" s="75" t="inlineStr">
        <is>
          <t>Coordenação local / Espaço físico</t>
        </is>
      </c>
      <c r="G14" s="90" t="inlineStr">
        <is>
          <t>Aberto — novo</t>
        </is>
      </c>
      <c r="H14" s="6" t="inlineStr">
        <is>
          <t>Reservar 3 espaços dedicados à OG (ex.: salas de reunião, auditório, espaço comunitário) distintos das 3 salas de DH, seguindo a mesma cadência de liberação dos lotes.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3864"/>
    <outlinePr summaryBelow="1" summaryRight="1"/>
    <pageSetUpPr/>
  </sheetPr>
  <dimension ref="B2:AF4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3" customWidth="1" min="33" max="33"/>
  </cols>
  <sheetData>
    <row r="2" ht="26" customHeight="1">
      <c r="B2" s="1" t="inlineStr">
        <is>
          <t>GANTT EXECUTIVO — TRILHA COMPLETA (CENÁRIO RECOMENDADO)</t>
        </is>
      </c>
    </row>
    <row r="3">
      <c r="B3" s="2" t="inlineStr">
        <is>
          <t>Grade semanal — cada coluna representa a segunda-feira da semana correspondente</t>
        </is>
      </c>
    </row>
    <row r="5" ht="46" customHeight="1">
      <c r="B5" s="14" t="inlineStr">
        <is>
          <t>Linha</t>
        </is>
      </c>
      <c r="C5" s="92" t="n">
        <v>46244</v>
      </c>
      <c r="D5" s="92" t="n">
        <v>46251</v>
      </c>
      <c r="E5" s="92" t="n">
        <v>46258</v>
      </c>
      <c r="F5" s="92" t="n">
        <v>46265</v>
      </c>
      <c r="G5" s="92" t="n">
        <v>46272</v>
      </c>
      <c r="H5" s="92" t="n">
        <v>46279</v>
      </c>
      <c r="I5" s="92" t="n">
        <v>46286</v>
      </c>
      <c r="J5" s="92" t="n">
        <v>46293</v>
      </c>
      <c r="K5" s="92" t="n">
        <v>46300</v>
      </c>
      <c r="L5" s="92" t="n">
        <v>46307</v>
      </c>
      <c r="M5" s="92" t="n">
        <v>46314</v>
      </c>
      <c r="N5" s="92" t="n">
        <v>46321</v>
      </c>
      <c r="O5" s="92" t="n">
        <v>46328</v>
      </c>
      <c r="P5" s="92" t="n">
        <v>46335</v>
      </c>
      <c r="Q5" s="92" t="n">
        <v>46342</v>
      </c>
      <c r="R5" s="92" t="n">
        <v>46349</v>
      </c>
      <c r="S5" s="92" t="n">
        <v>46356</v>
      </c>
      <c r="T5" s="92" t="n">
        <v>46363</v>
      </c>
      <c r="U5" s="92" t="n">
        <v>46370</v>
      </c>
      <c r="V5" s="92" t="n">
        <v>46377</v>
      </c>
      <c r="W5" s="92" t="n">
        <v>46384</v>
      </c>
      <c r="X5" s="92" t="n">
        <v>46391</v>
      </c>
      <c r="Y5" s="92" t="n">
        <v>46398</v>
      </c>
      <c r="Z5" s="92" t="n">
        <v>46405</v>
      </c>
      <c r="AA5" s="92" t="n">
        <v>46412</v>
      </c>
      <c r="AB5" s="92" t="n">
        <v>46419</v>
      </c>
      <c r="AC5" s="92" t="n">
        <v>46426</v>
      </c>
      <c r="AD5" s="92" t="n">
        <v>46433</v>
      </c>
      <c r="AE5" s="92" t="n">
        <v>46440</v>
      </c>
      <c r="AF5" s="92" t="n">
        <v>46447</v>
      </c>
    </row>
    <row r="6" ht="12" customHeight="1">
      <c r="B6" s="93" t="inlineStr">
        <is>
          <t>Palestras de Sensibilização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35" t="n"/>
    </row>
    <row r="7" ht="12" customHeight="1">
      <c r="B7" s="93" t="inlineStr">
        <is>
          <t>Desenvolvimento Humano (agregado)</t>
        </is>
      </c>
      <c r="C7" s="35" t="n"/>
      <c r="D7" s="35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  <c r="AA7" s="35" t="n"/>
      <c r="AB7" s="35" t="n"/>
      <c r="AC7" s="35" t="n"/>
      <c r="AD7" s="35" t="n"/>
      <c r="AE7" s="35" t="n"/>
      <c r="AF7" s="35" t="n"/>
    </row>
    <row r="8" ht="12" customHeight="1">
      <c r="B8" s="94" t="inlineStr">
        <is>
          <t xml:space="preserve">  DH 1 (Sala 1)</t>
        </is>
      </c>
      <c r="C8" s="35" t="n"/>
      <c r="D8" s="35" t="n"/>
      <c r="E8" s="23" t="n"/>
      <c r="F8" s="23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</row>
    <row r="9" ht="12" customHeight="1">
      <c r="B9" s="94" t="inlineStr">
        <is>
          <t xml:space="preserve">  DH 2 (Sala 2)</t>
        </is>
      </c>
      <c r="C9" s="35" t="n"/>
      <c r="D9" s="35" t="n"/>
      <c r="E9" s="23" t="n"/>
      <c r="F9" s="23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  <c r="AF9" s="35" t="n"/>
    </row>
    <row r="10" ht="12" customHeight="1">
      <c r="B10" s="94" t="inlineStr">
        <is>
          <t xml:space="preserve">  DH 3 (Sala 3)</t>
        </is>
      </c>
      <c r="C10" s="35" t="n"/>
      <c r="D10" s="35" t="n"/>
      <c r="E10" s="23" t="n"/>
      <c r="F10" s="23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</row>
    <row r="11" ht="12" customHeight="1">
      <c r="B11" s="94" t="inlineStr">
        <is>
          <t xml:space="preserve">  DH 4 (Sala 1)</t>
        </is>
      </c>
      <c r="C11" s="35" t="n"/>
      <c r="D11" s="35" t="n"/>
      <c r="E11" s="35" t="n"/>
      <c r="F11" s="35" t="n"/>
      <c r="G11" s="23" t="n"/>
      <c r="H11" s="23" t="n"/>
      <c r="I11" s="23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  <c r="AB11" s="35" t="n"/>
      <c r="AC11" s="35" t="n"/>
      <c r="AD11" s="35" t="n"/>
      <c r="AE11" s="35" t="n"/>
      <c r="AF11" s="35" t="n"/>
    </row>
    <row r="12" ht="12" customHeight="1">
      <c r="B12" s="94" t="inlineStr">
        <is>
          <t xml:space="preserve">  DH 5 (Sala 2)</t>
        </is>
      </c>
      <c r="C12" s="35" t="n"/>
      <c r="D12" s="35" t="n"/>
      <c r="E12" s="35" t="n"/>
      <c r="F12" s="35" t="n"/>
      <c r="G12" s="23" t="n"/>
      <c r="H12" s="23" t="n"/>
      <c r="I12" s="23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</row>
    <row r="13" ht="12" customHeight="1">
      <c r="B13" s="94" t="inlineStr">
        <is>
          <t xml:space="preserve">  DH 6 (Sala 3)</t>
        </is>
      </c>
      <c r="C13" s="35" t="n"/>
      <c r="D13" s="35" t="n"/>
      <c r="E13" s="35" t="n"/>
      <c r="F13" s="35" t="n"/>
      <c r="G13" s="23" t="n"/>
      <c r="H13" s="23" t="n"/>
      <c r="I13" s="23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</row>
    <row r="14" ht="12" customHeight="1">
      <c r="B14" s="94" t="inlineStr">
        <is>
          <t xml:space="preserve">  DH 7 (Sala 1)</t>
        </is>
      </c>
      <c r="C14" s="35" t="n"/>
      <c r="D14" s="35" t="n"/>
      <c r="E14" s="35" t="n"/>
      <c r="F14" s="35" t="n"/>
      <c r="G14" s="35" t="n"/>
      <c r="H14" s="35" t="n"/>
      <c r="I14" s="23" t="n"/>
      <c r="J14" s="23" t="n"/>
      <c r="K14" s="23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</row>
    <row r="15" ht="12" customHeight="1">
      <c r="B15" s="94" t="inlineStr">
        <is>
          <t xml:space="preserve">  DH 8 (Sala 2)</t>
        </is>
      </c>
      <c r="C15" s="35" t="n"/>
      <c r="D15" s="35" t="n"/>
      <c r="E15" s="35" t="n"/>
      <c r="F15" s="35" t="n"/>
      <c r="G15" s="35" t="n"/>
      <c r="H15" s="35" t="n"/>
      <c r="I15" s="23" t="n"/>
      <c r="J15" s="23" t="n"/>
      <c r="K15" s="23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</row>
    <row r="16" ht="12" customHeight="1">
      <c r="B16" s="94" t="inlineStr">
        <is>
          <t xml:space="preserve">  DH 9 (Sala 3)</t>
        </is>
      </c>
      <c r="C16" s="35" t="n"/>
      <c r="D16" s="35" t="n"/>
      <c r="E16" s="35" t="n"/>
      <c r="F16" s="35" t="n"/>
      <c r="G16" s="35" t="n"/>
      <c r="H16" s="35" t="n"/>
      <c r="I16" s="23" t="n"/>
      <c r="J16" s="23" t="n"/>
      <c r="K16" s="23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</row>
    <row r="17" ht="12" customHeight="1">
      <c r="B17" s="94" t="inlineStr">
        <is>
          <t xml:space="preserve">  DH 10 (Sala 1)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23" t="n"/>
      <c r="L17" s="23" t="n"/>
      <c r="M17" s="23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</row>
    <row r="18" ht="12" customHeight="1">
      <c r="B18" s="94" t="inlineStr">
        <is>
          <t xml:space="preserve">  DH 11 (Sala 2)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23" t="n"/>
      <c r="L18" s="23" t="n"/>
      <c r="M18" s="23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</row>
    <row r="19" ht="12" customHeight="1">
      <c r="B19" s="94" t="inlineStr">
        <is>
          <t xml:space="preserve">  DH 12 (Sala 3)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23" t="n"/>
      <c r="L19" s="23" t="n"/>
      <c r="M19" s="23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</row>
    <row r="20" ht="12" customHeight="1">
      <c r="B20" s="94" t="inlineStr">
        <is>
          <t xml:space="preserve">  DH 13 (Sala 1)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23" t="n"/>
      <c r="N20" s="23" t="n"/>
      <c r="O20" s="23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</row>
    <row r="21" ht="12" customHeight="1">
      <c r="B21" s="94" t="inlineStr">
        <is>
          <t xml:space="preserve">  DH 14 (Sala 2)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23" t="n"/>
      <c r="N21" s="23" t="n"/>
      <c r="O21" s="23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</row>
    <row r="22" ht="12" customHeight="1">
      <c r="B22" s="94" t="inlineStr">
        <is>
          <t xml:space="preserve">  DH 15 (Sala 3)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23" t="n"/>
      <c r="N22" s="23" t="n"/>
      <c r="O22" s="23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</row>
    <row r="23" ht="12" customHeight="1">
      <c r="B23" s="93" t="inlineStr">
        <is>
          <t>Oficina de Gestão (agregado)</t>
        </is>
      </c>
      <c r="C23" s="35" t="n"/>
      <c r="D23" s="35" t="n"/>
      <c r="E23" s="35" t="n"/>
      <c r="F23" s="3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</row>
    <row r="24" ht="12" customHeight="1">
      <c r="B24" s="94" t="inlineStr">
        <is>
          <t xml:space="preserve">  CT1a — Corte e Costura</t>
        </is>
      </c>
      <c r="C24" s="35" t="n"/>
      <c r="D24" s="35" t="n"/>
      <c r="E24" s="35" t="n"/>
      <c r="F24" s="35" t="n"/>
      <c r="G24" s="35" t="n"/>
      <c r="H24" s="35" t="n"/>
      <c r="I24" s="35" t="n"/>
      <c r="J24" s="27" t="n"/>
      <c r="K24" s="27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</row>
    <row r="25" ht="12" customHeight="1">
      <c r="B25" s="94" t="inlineStr">
        <is>
          <t xml:space="preserve">  CT1b — Corte e Costura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27" t="n"/>
      <c r="M25" s="27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  <c r="AB25" s="35" t="n"/>
      <c r="AC25" s="35" t="n"/>
      <c r="AD25" s="35" t="n"/>
      <c r="AE25" s="35" t="n"/>
      <c r="AF25" s="35" t="n"/>
    </row>
    <row r="26" ht="12" customHeight="1">
      <c r="B26" s="94" t="inlineStr">
        <is>
          <t xml:space="preserve">  CT3 — Beleza / Unhas</t>
        </is>
      </c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27" t="n"/>
      <c r="O26" s="27" t="n"/>
      <c r="P26" s="27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  <c r="AA26" s="35" t="n"/>
      <c r="AB26" s="35" t="n"/>
      <c r="AC26" s="35" t="n"/>
      <c r="AD26" s="35" t="n"/>
      <c r="AE26" s="35" t="n"/>
      <c r="AF26" s="35" t="n"/>
    </row>
    <row r="27" ht="12" customHeight="1">
      <c r="B27" s="94" t="inlineStr">
        <is>
          <t xml:space="preserve">  CT5 — Beleza / Cabelos Cache</t>
        </is>
      </c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27" t="n"/>
      <c r="Q27" s="27" t="n"/>
      <c r="R27" s="27" t="n"/>
      <c r="S27" s="27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 t="n"/>
      <c r="AF27" s="35" t="n"/>
    </row>
    <row r="28" ht="12" customHeight="1">
      <c r="B28" s="94" t="inlineStr">
        <is>
          <t xml:space="preserve">  CT4a — Preparacao de Alimento</t>
        </is>
      </c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27" t="n"/>
      <c r="U28" s="27" t="n"/>
      <c r="V28" s="27" t="n"/>
      <c r="W28" s="27" t="n"/>
      <c r="X28" s="27" t="n"/>
      <c r="Y28" s="27" t="n"/>
      <c r="Z28" s="35" t="n"/>
      <c r="AA28" s="35" t="n"/>
      <c r="AB28" s="35" t="n"/>
      <c r="AC28" s="35" t="n"/>
      <c r="AD28" s="35" t="n"/>
      <c r="AE28" s="35" t="n"/>
      <c r="AF28" s="35" t="n"/>
    </row>
    <row r="29" ht="12" customHeight="1">
      <c r="B29" s="94" t="inlineStr">
        <is>
          <t xml:space="preserve">  CT4b — Preparacao de Alimento</t>
        </is>
      </c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27" t="n"/>
      <c r="AA29" s="27" t="n"/>
      <c r="AB29" s="27" t="n"/>
      <c r="AC29" s="35" t="n"/>
      <c r="AD29" s="35" t="n"/>
      <c r="AE29" s="35" t="n"/>
      <c r="AF29" s="35" t="n"/>
    </row>
    <row r="30" ht="12" customHeight="1">
      <c r="B30" s="94" t="inlineStr">
        <is>
          <t xml:space="preserve">  CT7a — Eletrica</t>
        </is>
      </c>
      <c r="C30" s="35" t="n"/>
      <c r="D30" s="35" t="n"/>
      <c r="E30" s="35" t="n"/>
      <c r="F30" s="35" t="n"/>
      <c r="G30" s="35" t="n"/>
      <c r="H30" s="35" t="n"/>
      <c r="I30" s="35" t="n"/>
      <c r="J30" s="27" t="n"/>
      <c r="K30" s="27" t="n"/>
      <c r="L30" s="27" t="n"/>
      <c r="M30" s="27" t="n"/>
      <c r="N30" s="27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</row>
    <row r="31" ht="12" customHeight="1">
      <c r="B31" s="94" t="inlineStr">
        <is>
          <t xml:space="preserve">  CT7b — Eletrica</t>
        </is>
      </c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27" t="n"/>
      <c r="O31" s="27" t="n"/>
      <c r="P31" s="27" t="n"/>
      <c r="Q31" s="27" t="n"/>
      <c r="R31" s="27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 t="n"/>
      <c r="AF31" s="35" t="n"/>
    </row>
    <row r="32" ht="12" customHeight="1">
      <c r="B32" s="94" t="inlineStr">
        <is>
          <t xml:space="preserve">  CT6 — Automacao</t>
        </is>
      </c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27" t="n"/>
      <c r="T32" s="27" t="n"/>
      <c r="U32" s="27" t="n"/>
      <c r="V32" s="27" t="n"/>
      <c r="W32" s="27" t="n"/>
      <c r="X32" s="27" t="n"/>
      <c r="Y32" s="27" t="n"/>
      <c r="Z32" s="35" t="n"/>
      <c r="AA32" s="35" t="n"/>
      <c r="AB32" s="35" t="n"/>
      <c r="AC32" s="35" t="n"/>
      <c r="AD32" s="35" t="n"/>
      <c r="AE32" s="35" t="n"/>
      <c r="AF32" s="35" t="n"/>
    </row>
    <row r="33" ht="12" customHeight="1">
      <c r="B33" s="94" t="inlineStr">
        <is>
          <t xml:space="preserve">  CT2 — Jardinagem</t>
        </is>
      </c>
      <c r="C33" s="35" t="n"/>
      <c r="D33" s="35" t="n"/>
      <c r="E33" s="35" t="n"/>
      <c r="F33" s="35" t="n"/>
      <c r="G33" s="35" t="n"/>
      <c r="H33" s="35" t="n"/>
      <c r="I33" s="35" t="n"/>
      <c r="J33" s="27" t="n"/>
      <c r="K33" s="27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</row>
    <row r="34" ht="12" customHeight="1">
      <c r="B34" s="93" t="inlineStr">
        <is>
          <t>Curso EAD</t>
        </is>
      </c>
      <c r="C34" s="35" t="n"/>
      <c r="D34" s="35" t="n"/>
      <c r="E34" s="35" t="n"/>
      <c r="F34" s="35" t="n"/>
      <c r="G34" s="35" t="n"/>
      <c r="H34" s="35" t="n"/>
      <c r="I34" s="35" t="n"/>
      <c r="J34" s="35" t="n"/>
      <c r="K34" s="29" t="n"/>
      <c r="L34" s="29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</row>
    <row r="35" ht="12" customHeight="1">
      <c r="B35" s="93" t="inlineStr">
        <is>
          <t>Consultoria Individual</t>
        </is>
      </c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</row>
    <row r="36" ht="12" customHeight="1">
      <c r="B36" s="93" t="inlineStr">
        <is>
          <t>Recesso institucional</t>
        </is>
      </c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50" t="n"/>
      <c r="W36" s="50" t="n"/>
      <c r="X36" s="50" t="n"/>
      <c r="Y36" s="35" t="n"/>
      <c r="Z36" s="35" t="n"/>
      <c r="AA36" s="35" t="n"/>
      <c r="AB36" s="35" t="n"/>
      <c r="AC36" s="35" t="n"/>
      <c r="AD36" s="35" t="n"/>
      <c r="AE36" s="35" t="n"/>
      <c r="AF36" s="35" t="n"/>
    </row>
    <row r="37" ht="12" customHeight="1">
      <c r="B37" s="93" t="inlineStr">
        <is>
          <t>Feriado: Independencia do Brasil</t>
        </is>
      </c>
      <c r="C37" s="35" t="n"/>
      <c r="D37" s="35" t="n"/>
      <c r="E37" s="35" t="n"/>
      <c r="F37" s="35" t="n"/>
      <c r="G37" s="50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  <c r="AA37" s="35" t="n"/>
      <c r="AB37" s="35" t="n"/>
      <c r="AC37" s="35" t="n"/>
      <c r="AD37" s="35" t="n"/>
      <c r="AE37" s="35" t="n"/>
      <c r="AF37" s="35" t="n"/>
    </row>
    <row r="38" ht="12" customHeight="1">
      <c r="B38" s="93" t="inlineStr">
        <is>
          <t>Feriado: Nossa Senhora Aparecida</t>
        </is>
      </c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50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  <c r="AA38" s="35" t="n"/>
      <c r="AB38" s="35" t="n"/>
      <c r="AC38" s="35" t="n"/>
      <c r="AD38" s="35" t="n"/>
      <c r="AE38" s="35" t="n"/>
      <c r="AF38" s="35" t="n"/>
    </row>
    <row r="39" ht="12" customHeight="1">
      <c r="B39" s="93" t="inlineStr">
        <is>
          <t>Feriado: Finados</t>
        </is>
      </c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50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</row>
    <row r="40" ht="12" customHeight="1">
      <c r="B40" s="93" t="inlineStr">
        <is>
          <t>Feriado: Consciencia Negra</t>
        </is>
      </c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50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</row>
    <row r="41" ht="12" customHeight="1">
      <c r="B41" s="93" t="inlineStr">
        <is>
          <t>Feriado: Natal</t>
        </is>
      </c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50" t="n"/>
      <c r="W41" s="35" t="n"/>
      <c r="X41" s="35" t="n"/>
      <c r="Y41" s="35" t="n"/>
      <c r="Z41" s="35" t="n"/>
      <c r="AA41" s="35" t="n"/>
      <c r="AB41" s="35" t="n"/>
      <c r="AC41" s="35" t="n"/>
      <c r="AD41" s="35" t="n"/>
      <c r="AE41" s="35" t="n"/>
      <c r="AF41" s="35" t="n"/>
    </row>
    <row r="42" ht="12" customHeight="1">
      <c r="B42" s="93" t="inlineStr">
        <is>
          <t>Feriado: Confraternizacao Universal</t>
        </is>
      </c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50" t="n"/>
      <c r="X42" s="35" t="n"/>
      <c r="Y42" s="35" t="n"/>
      <c r="Z42" s="35" t="n"/>
      <c r="AA42" s="35" t="n"/>
      <c r="AB42" s="35" t="n"/>
      <c r="AC42" s="35" t="n"/>
      <c r="AD42" s="35" t="n"/>
      <c r="AE42" s="35" t="n"/>
      <c r="AF42" s="35" t="n"/>
    </row>
  </sheetData>
  <mergeCells count="2">
    <mergeCell ref="B3:D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2026-07-21T18:36:57Z</dcterms:created>
  <dcterms:modified xsi:type="dcterms:W3CDTF">2026-07-21T18:36:57Z</dcterms:modified>
</cp:coreProperties>
</file>