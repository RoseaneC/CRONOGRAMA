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IA-ME" sheetId="1" state="visible" r:id="rId1"/>
    <sheet name="01_PREMISSAS" sheetId="2" state="visible" r:id="rId2"/>
    <sheet name="02_DIVERGENCIAS" sheetId="3" state="visible" r:id="rId3"/>
    <sheet name="03_FLUXO_DA_TRILHA" sheetId="4" state="visible" r:id="rId4"/>
    <sheet name="04_RESUMO_EXECUTIVO" sheetId="5" state="visible" r:id="rId5"/>
    <sheet name="05_COMPARATIVO_CENARIOS" sheetId="6" state="visible" r:id="rId6"/>
    <sheet name="06_CENARIO_A" sheetId="7" state="visible" r:id="rId7"/>
    <sheet name="07_CENARIO_B" sheetId="8" state="visible" r:id="rId8"/>
    <sheet name="08_CENARIO_C" sheetId="9" state="visible" r:id="rId9"/>
    <sheet name="09_CENARIO_D" sheetId="10" state="visible" r:id="rId10"/>
    <sheet name="10_CRONOGRAMA_MESTRE" sheetId="11" state="visible" r:id="rId11"/>
    <sheet name="11_AGENDA_POR_SALA" sheetId="12" state="visible" r:id="rId12"/>
    <sheet name="12_TURMAS_DH" sheetId="13" state="visible" r:id="rId13"/>
    <sheet name="13_OFICINAS_GESTAO" sheetId="14" state="visible" r:id="rId14"/>
    <sheet name="14_CURSOS_TECNICOS" sheetId="15" state="visible" r:id="rId15"/>
    <sheet name="15_EAD_CONSULTORIAS" sheetId="16" state="visible" r:id="rId16"/>
    <sheet name="16_RISCOS_E_DECISOES" sheetId="17" state="visible" r:id="rId17"/>
    <sheet name="17_GANTT_EXECUTIVO" sheetId="18" state="visible" r:id="rId18"/>
    <sheet name="18_VISAO_PARA_PARCEIROS" sheetId="19" state="visible" r:id="rId19"/>
    <sheet name="19_LOG_DE_ALTERACO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A5A5A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5A5A5A"/>
      <sz val="9"/>
    </font>
    <font>
      <name val="Calibri"/>
      <b val="1"/>
      <color rgb="00000000"/>
      <sz val="10"/>
    </font>
    <font>
      <b val="1"/>
      <i val="1"/>
      <color rgb="001F3864"/>
    </font>
    <font>
      <name val="Calibri"/>
      <b val="1"/>
      <sz val="9"/>
    </font>
    <font>
      <name val="Calibri"/>
      <b val="1"/>
      <color rgb="00FFFFFF"/>
      <sz val="12"/>
    </font>
    <font>
      <b val="1"/>
      <sz val="12"/>
    </font>
    <font>
      <name val="Calibri"/>
      <b val="1"/>
      <color rgb="00000000"/>
      <sz val="11"/>
    </font>
    <font>
      <b val="1"/>
      <i val="1"/>
      <sz val="9"/>
    </font>
    <font>
      <b val="1"/>
      <color rgb="001F3864"/>
      <sz val="20"/>
    </font>
    <font>
      <i val="1"/>
      <color rgb="00C0392B"/>
      <sz val="9"/>
    </font>
    <font>
      <b val="1"/>
      <color rgb="001F3864"/>
    </font>
    <font>
      <color rgb="00FFFFFF"/>
      <sz val="1"/>
    </font>
    <font>
      <b val="1"/>
      <sz val="9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9"/>
    </font>
    <font>
      <i val="1"/>
      <color rgb="00C0392B"/>
    </font>
    <font>
      <b val="1"/>
      <i val="1"/>
      <color rgb="00C0392B"/>
    </font>
    <font>
      <b val="1"/>
      <color rgb="001F3864"/>
      <sz val="7"/>
    </font>
    <font>
      <b val="1"/>
      <sz val="8"/>
    </font>
    <font>
      <sz val="8"/>
    </font>
    <font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DCEDC8"/>
      </patternFill>
    </fill>
    <fill>
      <patternFill patternType="solid">
        <fgColor rgb="00FCE9B4"/>
      </patternFill>
    </fill>
    <fill>
      <patternFill patternType="solid">
        <fgColor rgb="00F8D7D3"/>
      </patternFill>
    </fill>
    <fill>
      <patternFill patternType="solid">
        <fgColor rgb="00D9D9D9"/>
      </patternFill>
    </fill>
    <fill>
      <patternFill patternType="solid">
        <fgColor rgb="00D8EEE9"/>
      </patternFill>
    </fill>
    <fill>
      <patternFill patternType="solid">
        <fgColor rgb="002E5395"/>
      </patternFill>
    </fill>
    <fill>
      <patternFill patternType="solid">
        <fgColor rgb="00F4B183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1948A"/>
      </patternFill>
    </fill>
    <fill>
      <patternFill patternType="solid">
        <fgColor rgb="000F6B5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9" fillId="9" borderId="0" pivotButton="0" quotePrefix="0" xfId="0"/>
    <xf numFmtId="0" fontId="6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4" fillId="1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165" fontId="20" fillId="17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0" fillId="7" borderId="1" pivotButton="0" quotePrefix="0" xfId="0"/>
    <xf numFmtId="0" fontId="18" fillId="2" borderId="0" applyAlignment="1" pivotButton="0" quotePrefix="0" xfId="0">
      <alignment horizontal="left" vertical="center" wrapText="1" indent="1"/>
    </xf>
    <xf numFmtId="0" fontId="21" fillId="0" borderId="0" pivotButton="0" quotePrefix="0" xfId="0"/>
    <xf numFmtId="0" fontId="16" fillId="0" borderId="0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7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16" borderId="0" applyAlignment="1" pivotButton="0" quotePrefix="0" xfId="0">
      <alignment horizontal="left" vertical="center" wrapText="1" indent="1"/>
    </xf>
    <xf numFmtId="165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5" fillId="5" borderId="0" applyAlignment="1" pivotButton="0" quotePrefix="0" xfId="0">
      <alignment vertical="center" wrapText="1" indent="1"/>
    </xf>
    <xf numFmtId="0" fontId="6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9" fillId="10" borderId="0" pivotButton="0" quotePrefix="0" xfId="0"/>
    <xf numFmtId="0" fontId="9" fillId="11" borderId="0" pivotButton="0" quotePrefix="0" xfId="0"/>
    <xf numFmtId="0" fontId="22" fillId="6" borderId="0" applyAlignment="1" pivotButton="0" quotePrefix="0" xfId="0">
      <alignment vertical="center" wrapText="1" indent="1"/>
    </xf>
    <xf numFmtId="0" fontId="4" fillId="6" borderId="1" applyAlignment="1" pivotButton="0" quotePrefix="0" xfId="0">
      <alignment horizontal="left" vertical="center" wrapText="1"/>
    </xf>
    <xf numFmtId="0" fontId="23" fillId="6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165" fontId="15" fillId="8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textRotation="90"/>
    </xf>
    <xf numFmtId="0" fontId="2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18" fillId="2" borderId="0" applyAlignment="1" pivotButton="0" quotePrefix="0" xfId="0">
      <alignment vertical="center" wrapText="1" indent="1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27" fillId="16" borderId="0" applyAlignment="1" pivotButton="0" quotePrefix="0" xfId="0">
      <alignment vertical="center" wrapText="1" indent="1"/>
    </xf>
    <xf numFmtId="0" fontId="4" fillId="0" borderId="0" applyAlignment="1" pivotButton="0" quotePrefix="0" xfId="0">
      <alignment vertical="center" wrapText="1" indent="1"/>
    </xf>
    <xf numFmtId="0" fontId="23" fillId="6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1">
    <dxf>
      <fill>
        <patternFill patternType="solid">
          <fgColor rgb="00DCED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88" customWidth="1" min="3" max="3"/>
    <col width="3" customWidth="1" min="4" max="4"/>
  </cols>
  <sheetData>
    <row r="2" ht="28" customHeight="1">
      <c r="B2" s="1" t="inlineStr">
        <is>
          <t>PARTIU! APRENDER E EMPREENDER — CRONOGRAMA PAULÍNIA (NÚCLEO 2) — V2</t>
        </is>
      </c>
    </row>
    <row r="3">
      <c r="B3" s="2" t="inlineStr">
        <is>
          <t>Instituto da Criança · Sebrae · Petrobras — V2: revisão crítica da V1, com correções de automação, capacidade e condicionamento de recomendação</t>
        </is>
      </c>
    </row>
    <row r="5">
      <c r="B5" s="3" t="inlineStr">
        <is>
          <t>O QUE MUDOU NESTA VERSÃO (V2)</t>
        </is>
      </c>
    </row>
    <row r="6" ht="75" customHeight="1">
      <c r="B6" s="4" t="inlineStr">
        <is>
          <t>Esta é uma revisão crítica do arquivo V1, feita a pedido da coordenação. As principais correções: (1) esclarecimento honesto sobre o que é automatizado por fórmula e o que exige regenerar o arquivo; (2) separação entre "turmas ativas na semana" e "capacidade física por noite"; (3) a Oficina de Gestão passa a ter duas alternativas explícitas (B1 e B2), nenhuma delas confirmada; (4) o cenário recomendado deixou de ser tratado como aprovado; (5) marcos de validação de quórum e simulação de atraso; (6) Cursos Técnicos reclassificados como datas de simulação, não compromissos; (7) cálculo de capacidade da Consultoria Individual. Ver a aba 19_LOG_DE_ALTERACOES para a lista completa, item a item.</t>
        </is>
      </c>
    </row>
    <row r="7"/>
    <row r="8"/>
    <row r="9"/>
    <row r="11">
      <c r="B11" s="3" t="inlineStr">
        <is>
          <t>MATRIZ DE AUTOMAÇÃO — O QUE MUDA SOZINHO E O QUE EXIGE REGENERAR O ARQUIVO</t>
        </is>
      </c>
    </row>
    <row r="12" ht="30" customHeight="1">
      <c r="B12" s="5" t="inlineStr">
        <is>
          <t>Regra geral: este arquivo NÃO tem macro/script embutido. Fórmulas do Excel recalculam sozinhas; qualquer coisa que dependa do algoritmo de alocação de salas/datas (Python) só muda depois de rodar scripts/build_workbook.py e gerar um novo arquivo.</t>
        </is>
      </c>
    </row>
    <row r="13" ht="30" customHeight="1">
      <c r="B13" s="6" t="inlineStr">
        <is>
          <t>Premissa (aba 01_PREMISSAS)</t>
        </is>
      </c>
      <c r="C13" s="7" t="inlineStr">
        <is>
          <t>Abas atualizadas automaticamente  /  Abas que exigem regenerar (script)</t>
        </is>
      </c>
    </row>
    <row r="14" ht="58" customHeight="1">
      <c r="B14" s="8" t="inlineStr">
        <is>
          <t>Cenário recomendado (dropdown A/B/C/D)</t>
        </is>
      </c>
      <c r="C14" s="9" t="inlineStr">
        <is>
          <t>AUTOMÁTICO: 04_RESUMO_EXECUTIVO e 05_COMPARATIVO_CENARIOS recalculam o destaque e os marcos por fórmula (INDEX/MATCH). EXIGE REGERAR: 10, 11, 12-15, 17 (cronograma mestre, agenda e turma a turma continuam no cenário B até serem regeneradas).</t>
        </is>
      </c>
    </row>
    <row r="15" ht="58" customHeight="1">
      <c r="B15" s="8" t="inlineStr">
        <is>
          <t>Datas de início/fim das Palestras (PS)</t>
        </is>
      </c>
      <c r="C15" s="9" t="inlineStr">
        <is>
          <t>EXIGE REGERAR script/build_workbook.py: todas as datas de PS, e por consequência as datas de DH/OG/CT/EAD/CI, são recalculadas pelo motor de datas em Python (não há fórmula de calendário de turmas no Excel).</t>
        </is>
      </c>
    </row>
    <row r="16" ht="58" customHeight="1">
      <c r="B16" s="8" t="inlineStr">
        <is>
          <t>Carga horária do DH (20h x 22h)</t>
        </is>
      </c>
      <c r="C16" s="9" t="inlineStr">
        <is>
          <t>EXIGE REGERAR: muda a duração de cada turma de DH em model.py; nenhuma fórmula recalcula isso no Excel.</t>
        </is>
      </c>
    </row>
    <row r="17" ht="58" customHeight="1">
      <c r="B17" s="8" t="inlineStr">
        <is>
          <t>Nº de salas / frequência do DH (cenários A-D)</t>
        </is>
      </c>
      <c r="C17" s="9" t="inlineStr">
        <is>
          <t>EXIGE REGERAR: o algoritmo de alocação de sala por lote está em Python (model.py), não em fórmula de planilha.</t>
        </is>
      </c>
    </row>
    <row r="18" ht="58" customHeight="1">
      <c r="B18" s="8" t="inlineStr">
        <is>
          <t>Quantidade de turmas de OG / CT / variante B1 x B2</t>
        </is>
      </c>
      <c r="C18" s="9" t="inlineStr">
        <is>
          <t>EXIGE REGERAR: schedules gerados em Python (build_og_schedule_b1_dedicado / _b2_compartilhado / build_ct_schedule).</t>
        </is>
      </c>
    </row>
    <row r="19" ht="58" customHeight="1">
      <c r="B19" s="8" t="inlineStr">
        <is>
          <t>Parâmetros de capacidade da Consultoria Individual (nº consultores, horas/dia, dias/semana, atendimentos simultâneos)</t>
        </is>
      </c>
      <c r="C19" s="9" t="inlineStr">
        <is>
          <t>AUTOMÁTICO: células editáveis na aba 15_EAD_CONSULTORIAS calculam por FÓRMULA (sem precisar regenerar) as semanas necessárias e a data de conclusão estimada.</t>
        </is>
      </c>
    </row>
    <row r="20" ht="58" customHeight="1">
      <c r="B20" s="8" t="inlineStr">
        <is>
          <t>Recesso institucional (datas)</t>
        </is>
      </c>
      <c r="C20" s="9" t="inlineStr">
        <is>
          <t>PARCIAL: o texto e os indicadores citam a data por referência de célula (fórmula) nas abas 00/01/04/17; mas o bloqueio desse período no cálculo de datas de turma (para não agendar encontro dentro do recesso) exige regerar o script.</t>
        </is>
      </c>
    </row>
    <row r="22" ht="32" customHeight="1">
      <c r="B22" s="10" t="inlineStr">
        <is>
          <t>SCRIPT A EXECUTAR PARA REGERAR: python3 scripts/build_workbook.py  (edite scripts/model.py para mudar uma premissa estrutural antes de rodar). Gera um novo .xlsx — não sobrescreve versões anteriores automaticamente.</t>
        </is>
      </c>
    </row>
    <row r="24">
      <c r="B24" s="3" t="inlineStr">
        <is>
          <t>COMO CLASSIFICAMOS CADA INFORMAÇÃO</t>
        </is>
      </c>
    </row>
    <row r="25" ht="28" customHeight="1">
      <c r="B25" s="11" t="inlineStr">
        <is>
          <t>Confirmada</t>
        </is>
      </c>
      <c r="C25" s="9" t="inlineStr">
        <is>
          <t>Valor igual em pelo menos 2 fontes independentes, sem contradição.</t>
        </is>
      </c>
    </row>
    <row r="26" ht="28" customHeight="1">
      <c r="B26" s="12" t="inlineStr">
        <is>
          <t>Premissa provisória</t>
        </is>
      </c>
      <c r="C26" s="9" t="inlineStr">
        <is>
          <t>Valor usado para construir o cronograma na ausência de confirmação formal; pode mudar.</t>
        </is>
      </c>
    </row>
    <row r="27" ht="28" customHeight="1">
      <c r="B27" s="13" t="inlineStr">
        <is>
          <t>Divergência entre documentos</t>
        </is>
      </c>
      <c r="C27" s="9" t="inlineStr">
        <is>
          <t>Os documentos-fonte trazem valores diferentes para o mesmo item; nenhum foi descartado.</t>
        </is>
      </c>
    </row>
    <row r="28" ht="28" customHeight="1">
      <c r="B28" s="14" t="inlineStr">
        <is>
          <t>Informação pendente de validação</t>
        </is>
      </c>
      <c r="C28" s="9" t="inlineStr">
        <is>
          <t>Dado ausente, incompleto ou com placeholder (ex.: fornecedor "?").</t>
        </is>
      </c>
    </row>
    <row r="29" ht="28" customHeight="1">
      <c r="B29" s="15" t="inlineStr">
        <is>
          <t>Decisão recomendada</t>
        </is>
      </c>
      <c r="C29" s="9" t="inlineStr">
        <is>
          <t>Recomendação da análise, com justificativa — não é um fato, é uma sugestão de encaminhamento.</t>
        </is>
      </c>
    </row>
    <row r="30" ht="28" customHeight="1">
      <c r="B30" s="12" t="inlineStr">
        <is>
          <t>Condicionado à validação</t>
        </is>
      </c>
      <c r="C30" s="9" t="inlineStr">
        <is>
          <t>Datas/indicadores calculados a partir de premissas ainda não confirmadas (salas, quórum, fornecedor) — NÃO são compromisso oficial.</t>
        </is>
      </c>
    </row>
    <row r="32">
      <c r="B32" s="3" t="inlineStr">
        <is>
          <t>COMO NAVEGAR</t>
        </is>
      </c>
    </row>
    <row r="33" ht="26" customHeight="1">
      <c r="B33" s="16" t="inlineStr">
        <is>
          <t>01_PREMISSAS</t>
        </is>
      </c>
      <c r="C33" s="9" t="inlineStr">
        <is>
          <t>Painel de premissas editáveis, agora com coluna indicando se a mudança é automática ou exige regeneração.</t>
        </is>
      </c>
    </row>
    <row r="34" ht="26" customHeight="1">
      <c r="B34" s="16" t="inlineStr">
        <is>
          <t>02_DIVERGENCIAS</t>
        </is>
      </c>
      <c r="C34" s="9" t="inlineStr">
        <is>
          <t>Tabela completa de conflitos entre os 4 documentos-fonte.</t>
        </is>
      </c>
    </row>
    <row r="35" ht="26" customHeight="1">
      <c r="B35" s="16" t="inlineStr">
        <is>
          <t>03_FLUXO_DA_TRILHA</t>
        </is>
      </c>
      <c r="C35" s="9" t="inlineStr">
        <is>
          <t>Mapa da trilha PS → DH → OG → CT → EAD → CI, com as regras quantitativas encontradas.</t>
        </is>
      </c>
    </row>
    <row r="36" ht="26" customHeight="1">
      <c r="B36" s="16" t="inlineStr">
        <is>
          <t>04_RESUMO_EXECUTIVO</t>
        </is>
      </c>
      <c r="C36" s="9" t="inlineStr">
        <is>
          <t>Visão de 1 página — recomendação condicionada, não uma aprovação.</t>
        </is>
      </c>
    </row>
    <row r="37" ht="26" customHeight="1">
      <c r="B37" s="16" t="inlineStr">
        <is>
          <t>05_COMPARATIVO_CENARIOS</t>
        </is>
      </c>
      <c r="C37" s="9" t="inlineStr">
        <is>
          <t>Painel comparativo dos 4 cenários, com os dois indicadores de capacidade separados.</t>
        </is>
      </c>
    </row>
    <row r="38" ht="26" customHeight="1">
      <c r="B38" s="16" t="inlineStr">
        <is>
          <t>06 a 09_CENARIO A-D</t>
        </is>
      </c>
      <c r="C38" s="9" t="inlineStr">
        <is>
          <t>Turma a turma de cada cenário + marcos de validação de quórum + simulação de atraso de 7 dias.</t>
        </is>
      </c>
    </row>
    <row r="39" ht="26" customHeight="1">
      <c r="B39" s="16" t="inlineStr">
        <is>
          <t>07_CENARIO_B</t>
        </is>
      </c>
      <c r="C39" s="9" t="inlineStr">
        <is>
          <t>Inclui a comparação das duas variantes de espaço para a OG (B1 x B2).</t>
        </is>
      </c>
    </row>
    <row r="40" ht="26" customHeight="1">
      <c r="B40" s="16" t="inlineStr">
        <is>
          <t>10_CRONOGRAMA_MESTRE</t>
        </is>
      </c>
      <c r="C40" s="9" t="inlineStr">
        <is>
          <t>Linha do tempo completa (cenário B, variante B1 de OG) — texto corrigido sobre o recesso.</t>
        </is>
      </c>
    </row>
    <row r="41" ht="26" customHeight="1">
      <c r="B41" s="16" t="inlineStr">
        <is>
          <t>11_AGENDA_POR_SALA</t>
        </is>
      </c>
      <c r="C41" s="9" t="inlineStr">
        <is>
          <t>Ocupação de salas — inclui as duas variantes de OG (B1/B2).</t>
        </is>
      </c>
    </row>
    <row r="42" ht="26" customHeight="1">
      <c r="B42" s="16" t="inlineStr">
        <is>
          <t>12_TURMAS_DH</t>
        </is>
      </c>
      <c r="C42" s="9" t="inlineStr">
        <is>
          <t>PS 01-30 e DH 01-15 detalhados.</t>
        </is>
      </c>
    </row>
    <row r="43" ht="26" customHeight="1">
      <c r="B43" s="16" t="inlineStr">
        <is>
          <t>13_OFICINAS_GESTAO</t>
        </is>
      </c>
      <c r="C43" s="9" t="inlineStr">
        <is>
          <t>Detalhamento das duas variantes de OG (B1/B2), nenhuma confirmada.</t>
        </is>
      </c>
    </row>
    <row r="44" ht="26" customHeight="1">
      <c r="B44" s="16" t="inlineStr">
        <is>
          <t>14_CURSOS_TECNICOS</t>
        </is>
      </c>
      <c r="C44" s="9" t="inlineStr">
        <is>
          <t>Todas as datas classificadas como "proposta para simulação", com quórum e responsável pela validação.</t>
        </is>
      </c>
    </row>
    <row r="45" ht="26" customHeight="1">
      <c r="B45" s="16" t="inlineStr">
        <is>
          <t>15_EAD_CONSULTORIAS</t>
        </is>
      </c>
      <c r="C45" s="9" t="inlineStr">
        <is>
          <t>Calculadora de capacidade da Consultoria Individual com parâmetros editáveis.</t>
        </is>
      </c>
    </row>
    <row r="46" ht="26" customHeight="1">
      <c r="B46" s="16" t="inlineStr">
        <is>
          <t>16_RISCOS_E_DECISOES</t>
        </is>
      </c>
      <c r="C46" s="9" t="inlineStr">
        <is>
          <t>Quadro de riscos, agora incluindo quórum, atraso em cascata e ambiguidade de espaços de OG.</t>
        </is>
      </c>
    </row>
    <row r="47" ht="26" customHeight="1">
      <c r="B47" s="16" t="inlineStr">
        <is>
          <t>17_GANTT_EXECUTIVO</t>
        </is>
      </c>
      <c r="C47" s="9" t="inlineStr">
        <is>
          <t>Gantt visual semanal da trilha completa.</t>
        </is>
      </c>
    </row>
    <row r="48" ht="26" customHeight="1">
      <c r="B48" s="16" t="inlineStr">
        <is>
          <t>18_VISAO_PARA_PARCEIROS</t>
        </is>
      </c>
      <c r="C48" s="9" t="inlineStr">
        <is>
          <t>Página única para compartilhar com Sebrae/Petrobras — sem detalhe técnico operacional.</t>
        </is>
      </c>
    </row>
    <row r="49" ht="26" customHeight="1">
      <c r="B49" s="16" t="inlineStr">
        <is>
          <t>19_LOG_DE_ALTERACOES</t>
        </is>
      </c>
      <c r="C49" s="9" t="inlineStr">
        <is>
          <t>Lista completa das correções feitas nesta V2, item a item, em resposta à revisão crítica.</t>
        </is>
      </c>
    </row>
  </sheetData>
  <mergeCells count="7">
    <mergeCell ref="B2:C2"/>
    <mergeCell ref="B13"/>
    <mergeCell ref="B6:C9"/>
    <mergeCell ref="B3:C3"/>
    <mergeCell ref="B22:C22"/>
    <mergeCell ref="C13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B2:F5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38" customWidth="1" min="4" max="4"/>
    <col width="20" customWidth="1" min="5" max="5"/>
    <col width="16" customWidth="1" min="6" max="6"/>
    <col width="3" customWidth="1" min="7" max="7"/>
  </cols>
  <sheetData>
    <row r="2" ht="28" customHeight="1">
      <c r="B2" s="1" t="inlineStr">
        <is>
          <t>PREMISSAS DO CRONOGRAMA — V2</t>
        </is>
      </c>
    </row>
    <row r="3">
      <c r="B3" s="2" t="inlineStr">
        <is>
          <t>Células amarelas são editáveis. A coluna "Automação" diz, para CADA premissa, se a mudança recalcula sozinha ou exige rodar scripts/build_workbook.py. Ver matriz completa na aba 00_LEIA-ME.</t>
        </is>
      </c>
    </row>
    <row r="5" ht="20" customHeight="1">
      <c r="B5" s="17" t="inlineStr">
        <is>
          <t>CENÁRIO RECOMENDADO PARA AS ABAS 04 E 05 (ligado por fórmula)</t>
        </is>
      </c>
    </row>
    <row r="6" ht="26" customHeight="1">
      <c r="B6" s="18" t="inlineStr">
        <is>
          <t>Cenário recomendado (dropdown)</t>
        </is>
      </c>
      <c r="C6" s="19" t="inlineStr">
        <is>
          <t>B</t>
        </is>
      </c>
      <c r="D6" s="9" t="inlineStr">
        <is>
          <t>Alimenta por fórmula os destaques e marcos das abas 04_RESUMO_EXECUTIVO e 05_COMPARATIVO_CENARIOS.</t>
        </is>
      </c>
      <c r="E6" s="11" t="inlineStr">
        <is>
          <t>Confirmada</t>
        </is>
      </c>
      <c r="F6" s="20" t="inlineStr">
        <is>
          <t>Automático (fórmula)</t>
        </is>
      </c>
    </row>
    <row r="8" ht="22" customHeight="1">
      <c r="B8" s="21" t="inlineStr">
        <is>
          <t>PALESTRAS DE SENSIBILIZAÇÃO (PS)</t>
        </is>
      </c>
    </row>
    <row r="9" ht="30" customHeight="1">
      <c r="B9" s="6" t="inlineStr">
        <is>
          <t>Item</t>
        </is>
      </c>
      <c r="C9" s="6" t="inlineStr">
        <is>
          <t>Valor</t>
        </is>
      </c>
      <c r="D9" s="6" t="inlineStr">
        <is>
          <t>Observação / Classificação</t>
        </is>
      </c>
      <c r="E9" s="6" t="inlineStr">
        <is>
          <t>Status</t>
        </is>
      </c>
      <c r="F9" s="6" t="inlineStr">
        <is>
          <t>Automação</t>
        </is>
      </c>
    </row>
    <row r="10" ht="30" customHeight="1">
      <c r="B10" s="18" t="inlineStr">
        <is>
          <t>Data de início</t>
        </is>
      </c>
      <c r="C10" s="22" t="n">
        <v>46245</v>
      </c>
      <c r="D10" s="9" t="inlineStr">
        <is>
          <t>Confirmado em 3 fontes</t>
        </is>
      </c>
      <c r="E10" s="11" t="inlineStr">
        <is>
          <t>Confirmada</t>
        </is>
      </c>
      <c r="F10" s="23" t="inlineStr">
        <is>
          <t>Exige regeneração (script)</t>
        </is>
      </c>
    </row>
    <row r="11" ht="30" customHeight="1">
      <c r="B11" s="18" t="inlineStr">
        <is>
          <t>Data-alvo de término</t>
        </is>
      </c>
      <c r="C11" s="22" t="n">
        <v>46310</v>
      </c>
      <c r="D11" s="9" t="inlineStr">
        <is>
          <t>Confirmado em 3 fontes</t>
        </is>
      </c>
      <c r="E11" s="11" t="inlineStr">
        <is>
          <t>Confirmada</t>
        </is>
      </c>
      <c r="F11" s="23" t="inlineStr">
        <is>
          <t>Exige regeneração (script)</t>
        </is>
      </c>
    </row>
    <row r="12" ht="30" customHeight="1">
      <c r="B12" s="18" t="inlineStr">
        <is>
          <t>Total de turmas (Paulínia)</t>
        </is>
      </c>
      <c r="C12" s="24" t="n">
        <v>30</v>
      </c>
      <c r="D12" s="9" t="inlineStr">
        <is>
          <t>Base operacional J3=30; PDF macro Núcleo 2 = 30 turmas</t>
        </is>
      </c>
      <c r="E12" s="11" t="inlineStr">
        <is>
          <t>Confirmada</t>
        </is>
      </c>
      <c r="F12" s="23" t="inlineStr">
        <is>
          <t>Exige regeneração (script)</t>
        </is>
      </c>
    </row>
    <row r="13" ht="30" customHeight="1">
      <c r="B13" s="18" t="inlineStr">
        <is>
          <t>Frequência</t>
        </is>
      </c>
      <c r="C13" s="24" t="inlineStr">
        <is>
          <t>3x/semana (Ter/Qua/Qui)</t>
        </is>
      </c>
      <c r="D13" s="9" t="inlineStr">
        <is>
          <t>Cadência dedutível da planilha "Possibilidades"</t>
        </is>
      </c>
      <c r="E13" s="12" t="inlineStr">
        <is>
          <t>Premissa provisória</t>
        </is>
      </c>
      <c r="F13" s="23" t="inlineStr">
        <is>
          <t>Exige regeneração (script)</t>
        </is>
      </c>
    </row>
    <row r="15" ht="22" customHeight="1">
      <c r="B15" s="21" t="inlineStr">
        <is>
          <t>DESENVOLVIMENTO HUMANO (DH)</t>
        </is>
      </c>
    </row>
    <row r="16" ht="30" customHeight="1">
      <c r="B16" s="6" t="inlineStr">
        <is>
          <t>Item</t>
        </is>
      </c>
      <c r="C16" s="6" t="inlineStr">
        <is>
          <t>Valor</t>
        </is>
      </c>
      <c r="D16" s="6" t="inlineStr">
        <is>
          <t>Observação / Classificação</t>
        </is>
      </c>
      <c r="E16" s="6" t="inlineStr">
        <is>
          <t>Status</t>
        </is>
      </c>
      <c r="F16" s="6" t="inlineStr">
        <is>
          <t>Automação</t>
        </is>
      </c>
    </row>
    <row r="17" ht="30" customHeight="1">
      <c r="B17" s="18" t="inlineStr">
        <is>
          <t>Total de turmas (Paulínia)</t>
        </is>
      </c>
      <c r="C17" s="24" t="n">
        <v>15</v>
      </c>
      <c r="D17" s="9" t="inlineStr">
        <is>
          <t>Confirmado em 3 fontes</t>
        </is>
      </c>
      <c r="E17" s="11" t="inlineStr">
        <is>
          <t>Confirmada</t>
        </is>
      </c>
      <c r="F17" s="23" t="inlineStr">
        <is>
          <t>Exige regeneração (script)</t>
        </is>
      </c>
    </row>
    <row r="18" ht="30" customHeight="1">
      <c r="B18" s="18" t="inlineStr">
        <is>
          <t>Carga horária total — OPÇÃO USADA NO MODELO</t>
        </is>
      </c>
      <c r="C18" s="24" t="inlineStr">
        <is>
          <t>20h / 10 encontros</t>
        </is>
      </c>
      <c r="D18" s="9" t="inlineStr">
        <is>
          <t>Usada pela simulação de cenários e citada em reunião</t>
        </is>
      </c>
      <c r="E18" s="12" t="inlineStr">
        <is>
          <t>Premissa provisória</t>
        </is>
      </c>
      <c r="F18" s="23" t="inlineStr">
        <is>
          <t>Exige regeneração (script)</t>
        </is>
      </c>
    </row>
    <row r="19" ht="30" customHeight="1">
      <c r="B19" s="18" t="inlineStr">
        <is>
          <t>Carga horária total — OPÇÃO ALTERNATIVA (documental)</t>
        </is>
      </c>
      <c r="C19" s="25" t="inlineStr">
        <is>
          <t>22h / 11 encontros</t>
        </is>
      </c>
      <c r="D19" s="9" t="inlineStr">
        <is>
          <t>Planilha operacional e PDF macro</t>
        </is>
      </c>
      <c r="E19" s="13" t="inlineStr">
        <is>
          <t>Divergência entre documentos</t>
        </is>
      </c>
      <c r="F19" s="23" t="inlineStr">
        <is>
          <t>Exige regeneração (script)</t>
        </is>
      </c>
    </row>
    <row r="20" ht="30" customHeight="1">
      <c r="B20" s="18" t="inlineStr">
        <is>
          <t>Mínimo/Máximo de participantes por turma</t>
        </is>
      </c>
      <c r="C20" s="24" t="inlineStr">
        <is>
          <t>20 / 40</t>
        </is>
      </c>
      <c r="D20" s="9" t="inlineStr">
        <is>
          <t>Planilha operacional H4/I4</t>
        </is>
      </c>
      <c r="E20" s="11" t="inlineStr">
        <is>
          <t>Confirmada</t>
        </is>
      </c>
      <c r="F20" s="23" t="inlineStr">
        <is>
          <t>Exige regeneração (script)</t>
        </is>
      </c>
    </row>
    <row r="21" ht="30" customHeight="1">
      <c r="B21" s="18" t="inlineStr">
        <is>
          <t>Regra de formação — OPÇÃO A</t>
        </is>
      </c>
      <c r="C21" s="25" t="inlineStr">
        <is>
          <t>2 PS = 1 DH</t>
        </is>
      </c>
      <c r="D21" s="9" t="inlineStr">
        <is>
          <t>Fecha exatamente com 30 PS → 15 DH</t>
        </is>
      </c>
      <c r="E21" s="12" t="inlineStr">
        <is>
          <t>Premissa provisória</t>
        </is>
      </c>
      <c r="F21" s="23" t="inlineStr">
        <is>
          <t>Exige regeneração (script)</t>
        </is>
      </c>
    </row>
    <row r="22" ht="30" customHeight="1">
      <c r="B22" s="18" t="inlineStr">
        <is>
          <t>Regra de formação — OPÇÃO B (anotação divergente)</t>
        </is>
      </c>
      <c r="C22" s="25" t="inlineStr">
        <is>
          <t>4 OS = 1 DH</t>
        </is>
      </c>
      <c r="D22" s="9" t="inlineStr">
        <is>
          <t>"OS" não existe na trilha; provável erro de digitação. Não fecha com 15 turmas mesmo lendo como "PS"</t>
        </is>
      </c>
      <c r="E22" s="13" t="inlineStr">
        <is>
          <t>Divergência entre documentos</t>
        </is>
      </c>
      <c r="F22" s="23" t="inlineStr">
        <is>
          <t>—</t>
        </is>
      </c>
    </row>
    <row r="23" ht="30" customHeight="1">
      <c r="B23" s="18" t="inlineStr">
        <is>
          <t>Frequência semanal a comparar</t>
        </is>
      </c>
      <c r="C23" s="24" t="inlineStr">
        <is>
          <t>2x ou 5x por semana</t>
        </is>
      </c>
      <c r="D23" s="9" t="inlineStr">
        <is>
          <t>Cenários A-D</t>
        </is>
      </c>
      <c r="E23" s="12" t="inlineStr">
        <is>
          <t>Premissa provisória</t>
        </is>
      </c>
      <c r="F23" s="23" t="inlineStr">
        <is>
          <t>Exige regeneração (script)</t>
        </is>
      </c>
    </row>
    <row r="24" ht="30" customHeight="1">
      <c r="B24" s="18" t="inlineStr">
        <is>
          <t>Nº de salas a comparar</t>
        </is>
      </c>
      <c r="C24" s="24" t="inlineStr">
        <is>
          <t>2 ou 3</t>
        </is>
      </c>
      <c r="D24" s="9" t="inlineStr">
        <is>
          <t>Cenários A-D</t>
        </is>
      </c>
      <c r="E24" s="12" t="inlineStr">
        <is>
          <t>Premissa provisória</t>
        </is>
      </c>
      <c r="F24" s="23" t="inlineStr">
        <is>
          <t>Exige regeneração (script)</t>
        </is>
      </c>
    </row>
    <row r="25" ht="30" customHeight="1">
      <c r="B25" s="18" t="inlineStr">
        <is>
          <t>Gatilho para 1º curso técnico</t>
        </is>
      </c>
      <c r="C25" s="24" t="inlineStr">
        <is>
          <t>Após a 4ª turma de DH concluída</t>
        </is>
      </c>
      <c r="D25" s="9" t="inlineStr">
        <is>
          <t>Planilha operacional, anotação A34</t>
        </is>
      </c>
      <c r="E25" s="12" t="inlineStr">
        <is>
          <t>Premissa provisória</t>
        </is>
      </c>
      <c r="F25" s="23" t="inlineStr">
        <is>
          <t>Exige regeneração (script)</t>
        </is>
      </c>
    </row>
    <row r="27" ht="22" customHeight="1">
      <c r="B27" s="21" t="inlineStr">
        <is>
          <t>OFICINA DE GESTÃO (OG) — DUAS VARIANTES, NENHUMA CONFIRMADA</t>
        </is>
      </c>
    </row>
    <row r="28" ht="30" customHeight="1">
      <c r="B28" s="6" t="inlineStr">
        <is>
          <t>Item</t>
        </is>
      </c>
      <c r="C28" s="6" t="inlineStr">
        <is>
          <t>Valor</t>
        </is>
      </c>
      <c r="D28" s="6" t="inlineStr">
        <is>
          <t>Observação / Classificação</t>
        </is>
      </c>
      <c r="E28" s="6" t="inlineStr">
        <is>
          <t>Status</t>
        </is>
      </c>
      <c r="F28" s="6" t="inlineStr">
        <is>
          <t>Automação</t>
        </is>
      </c>
    </row>
    <row r="29" ht="30" customHeight="1">
      <c r="B29" s="18" t="inlineStr">
        <is>
          <t>Total de turmas — OPÇÃO USADA NO MODELO</t>
        </is>
      </c>
      <c r="C29" s="24" t="n">
        <v>15</v>
      </c>
      <c r="D29" s="9" t="inlineStr">
        <is>
          <t>Planilha operacional J5=15 (1 OG por turma de DH concluída)</t>
        </is>
      </c>
      <c r="E29" s="12" t="inlineStr">
        <is>
          <t>Premissa provisória</t>
        </is>
      </c>
      <c r="F29" s="23" t="inlineStr">
        <is>
          <t>Exige regeneração (script)</t>
        </is>
      </c>
    </row>
    <row r="30" ht="30" customHeight="1">
      <c r="B30" s="18" t="inlineStr">
        <is>
          <t>Total de turmas — LEITURA ALTERNATIVA</t>
        </is>
      </c>
      <c r="C30" s="25" t="inlineStr">
        <is>
          <t>≈7 a 8</t>
        </is>
      </c>
      <c r="D30" s="9" t="inlineStr">
        <is>
          <t>Anotação "2 DH = 1 OG + 1 CT" (A28) aplicada literalmente</t>
        </is>
      </c>
      <c r="E30" s="13" t="inlineStr">
        <is>
          <t>Divergência entre documentos</t>
        </is>
      </c>
      <c r="F30" s="23" t="inlineStr">
        <is>
          <t>—</t>
        </is>
      </c>
    </row>
    <row r="31" ht="30" customHeight="1">
      <c r="B31" s="18" t="inlineStr">
        <is>
          <t>Variante B1 — espaço</t>
        </is>
      </c>
      <c r="C31" s="25" t="inlineStr">
        <is>
          <t>3 espaços ADICIONAIS, fora das 3 salas de DH</t>
        </is>
      </c>
      <c r="D31" s="9" t="inlineStr">
        <is>
          <t>NÃO CONFIRMADO. Ver comparação B1 x B2 na aba 07_CENARIO_B.</t>
        </is>
      </c>
      <c r="E31" s="14" t="inlineStr">
        <is>
          <t>Informação pendente de validação</t>
        </is>
      </c>
      <c r="F31" s="23" t="inlineStr">
        <is>
          <t>Exige regeneração (script)</t>
        </is>
      </c>
    </row>
    <row r="32" ht="30" customHeight="1">
      <c r="B32" s="18" t="inlineStr">
        <is>
          <t>Variante B2 — espaço</t>
        </is>
      </c>
      <c r="C32" s="25" t="inlineStr">
        <is>
          <t>As mesmas 3 salas de DH (sem espaço adicional)</t>
        </is>
      </c>
      <c r="D32" s="9" t="inlineStr">
        <is>
          <t>OG só pode começar após o fim total da fase de DH (04/11) — ver aba 07.</t>
        </is>
      </c>
      <c r="E32" s="15" t="inlineStr">
        <is>
          <t>Decisão recomendada</t>
        </is>
      </c>
      <c r="F32" s="23" t="inlineStr">
        <is>
          <t>Exige regeneração (script)</t>
        </is>
      </c>
    </row>
    <row r="33" ht="30" customHeight="1">
      <c r="B33" s="18" t="inlineStr">
        <is>
          <t>Carga horária / Encontros</t>
        </is>
      </c>
      <c r="C33" s="24" t="inlineStr">
        <is>
          <t>4h / 2 encontros</t>
        </is>
      </c>
      <c r="D33" s="9" t="inlineStr">
        <is>
          <t>Planilha operacional F5/G5</t>
        </is>
      </c>
      <c r="E33" s="11" t="inlineStr">
        <is>
          <t>Confirmada</t>
        </is>
      </c>
      <c r="F33" s="23" t="inlineStr">
        <is>
          <t>Exige regeneração (script)</t>
        </is>
      </c>
    </row>
    <row r="34" ht="30" customHeight="1">
      <c r="B34" s="18" t="inlineStr">
        <is>
          <t>Mínimo/máximo de participantes</t>
        </is>
      </c>
      <c r="C34" s="24" t="inlineStr">
        <is>
          <t>15 / 18</t>
        </is>
      </c>
      <c r="D34" s="9" t="inlineStr">
        <is>
          <t>Planilha operacional H5/I5</t>
        </is>
      </c>
      <c r="E34" s="11" t="inlineStr">
        <is>
          <t>Confirmada</t>
        </is>
      </c>
      <c r="F34" s="23" t="inlineStr">
        <is>
          <t>Exige regeneração (script)</t>
        </is>
      </c>
    </row>
    <row r="36" ht="22" customHeight="1">
      <c r="B36" s="21" t="inlineStr">
        <is>
          <t>CURSOS TÉCNICOS (CT) — DATAS SÃO PROPOSTA PARA SIMULAÇÃO</t>
        </is>
      </c>
    </row>
    <row r="37" ht="30" customHeight="1">
      <c r="B37" s="6" t="inlineStr">
        <is>
          <t>Item</t>
        </is>
      </c>
      <c r="C37" s="6" t="inlineStr">
        <is>
          <t>Valor</t>
        </is>
      </c>
      <c r="D37" s="6" t="inlineStr">
        <is>
          <t>Observação / Classificação</t>
        </is>
      </c>
      <c r="E37" s="6" t="inlineStr">
        <is>
          <t>Status</t>
        </is>
      </c>
      <c r="F37" s="6" t="inlineStr">
        <is>
          <t>Automação</t>
        </is>
      </c>
    </row>
    <row r="38" ht="30" customHeight="1">
      <c r="B38" s="18" t="inlineStr">
        <is>
          <t>Total de turmas — OPÇÃO USADA NO MODELO</t>
        </is>
      </c>
      <c r="C38" s="24" t="n">
        <v>10</v>
      </c>
      <c r="D38" s="9" t="inlineStr">
        <is>
          <t>Soma de J6:J12 (7 temas)</t>
        </is>
      </c>
      <c r="E38" s="12" t="inlineStr">
        <is>
          <t>Premissa provisória</t>
        </is>
      </c>
      <c r="F38" s="23" t="inlineStr">
        <is>
          <t>Exige regeneração (script)</t>
        </is>
      </c>
    </row>
    <row r="39" ht="30" customHeight="1">
      <c r="B39" s="18" t="inlineStr">
        <is>
          <t>Total de turmas — META CONTRATUAL (PDF macro)</t>
        </is>
      </c>
      <c r="C39" s="25" t="n">
        <v>13</v>
      </c>
      <c r="D39" s="9" t="inlineStr">
        <is>
          <t>PDF, Núcleo 2 = 13 turmas = 195 pessoas</t>
        </is>
      </c>
      <c r="E39" s="13" t="inlineStr">
        <is>
          <t>Divergência entre documentos</t>
        </is>
      </c>
      <c r="F39" s="23" t="inlineStr">
        <is>
          <t>—</t>
        </is>
      </c>
    </row>
    <row r="40" ht="30" customHeight="1">
      <c r="B40" s="18" t="inlineStr">
        <is>
          <t>Diferença a validar</t>
        </is>
      </c>
      <c r="C40" s="25" t="inlineStr">
        <is>
          <t>3 turmas</t>
        </is>
      </c>
      <c r="D40" s="9" t="inlineStr">
        <is>
          <t>Temas/fornecedores não definidos neste material</t>
        </is>
      </c>
      <c r="E40" s="14" t="inlineStr">
        <is>
          <t>Informação pendente de validação</t>
        </is>
      </c>
      <c r="F40" s="23" t="inlineStr">
        <is>
          <t>—</t>
        </is>
      </c>
    </row>
    <row r="41" ht="30" customHeight="1">
      <c r="B41" s="18" t="inlineStr">
        <is>
          <t>Frequência / Turno</t>
        </is>
      </c>
      <c r="C41" s="24" t="inlineStr">
        <is>
          <t>5x/semana, 4h/dia, noite</t>
        </is>
      </c>
      <c r="D41" s="9" t="inlineStr">
        <is>
          <t>Planilha operacional e briefing</t>
        </is>
      </c>
      <c r="E41" s="11" t="inlineStr">
        <is>
          <t>Confirmada</t>
        </is>
      </c>
      <c r="F41" s="23" t="inlineStr">
        <is>
          <t>Exige regeneração (script)</t>
        </is>
      </c>
    </row>
    <row r="42" ht="30" customHeight="1">
      <c r="B42" s="18" t="inlineStr">
        <is>
          <t>Quórum mínimo por turma</t>
        </is>
      </c>
      <c r="C42" s="25" t="inlineStr">
        <is>
          <t>14 a 18 (varia por curso/fornecedor)</t>
        </is>
      </c>
      <c r="D42" s="9" t="inlineStr">
        <is>
          <t>Planilha operacional H6:H12; reunião cita 16 como referência geral</t>
        </is>
      </c>
      <c r="E42" s="13" t="inlineStr">
        <is>
          <t>Divergência entre documentos</t>
        </is>
      </c>
      <c r="F42" s="23" t="inlineStr">
        <is>
          <t>—</t>
        </is>
      </c>
    </row>
    <row r="43" ht="30" customHeight="1">
      <c r="B43" s="18" t="inlineStr">
        <is>
          <t>Classificação de TODAS as datas de CT nesta versão</t>
        </is>
      </c>
      <c r="C43" s="25" t="inlineStr">
        <is>
          <t>Proposta para simulação — pendente de quórum, contratação e validação do fornecedor</t>
        </is>
      </c>
      <c r="D43" s="9" t="inlineStr">
        <is>
          <t>Nenhuma data de CT é compromisso oficial (item 6 da revisão crítica)</t>
        </is>
      </c>
      <c r="E43" s="12" t="inlineStr">
        <is>
          <t>Condicionado à validação</t>
        </is>
      </c>
      <c r="F43" s="23" t="inlineStr">
        <is>
          <t>—</t>
        </is>
      </c>
    </row>
    <row r="45" ht="22" customHeight="1">
      <c r="B45" s="21" t="inlineStr">
        <is>
          <t>CONSULTORIA INDIVIDUAL (CI) — CALCULADORA DE CAPACIDADE NA ABA 15</t>
        </is>
      </c>
    </row>
    <row r="46" ht="30" customHeight="1">
      <c r="B46" s="6" t="inlineStr">
        <is>
          <t>Item</t>
        </is>
      </c>
      <c r="C46" s="6" t="inlineStr">
        <is>
          <t>Valor</t>
        </is>
      </c>
      <c r="D46" s="6" t="inlineStr">
        <is>
          <t>Observação / Classificação</t>
        </is>
      </c>
      <c r="E46" s="6" t="inlineStr">
        <is>
          <t>Status</t>
        </is>
      </c>
      <c r="F46" s="6" t="inlineStr">
        <is>
          <t>Automação</t>
        </is>
      </c>
    </row>
    <row r="47" ht="30" customHeight="1">
      <c r="B47" s="18" t="inlineStr">
        <is>
          <t>Meta de pessoas / atendimentos por pessoa / horas por atendimento</t>
        </is>
      </c>
      <c r="C47" s="24" t="inlineStr">
        <is>
          <t>150 / 3 / 1h</t>
        </is>
      </c>
      <c r="D47" s="9" t="inlineStr">
        <is>
          <t>Nota J14 (450 atend./3) e PDF macro ("13 turmas = 150 pessoas")</t>
        </is>
      </c>
      <c r="E47" s="11" t="inlineStr">
        <is>
          <t>Confirmada</t>
        </is>
      </c>
      <c r="F47" s="23" t="inlineStr">
        <is>
          <t>Exige regeneração (script)</t>
        </is>
      </c>
    </row>
    <row r="48" ht="30" customHeight="1">
      <c r="B48" s="18" t="inlineStr">
        <is>
          <t>Nº de consultores (padrão)</t>
        </is>
      </c>
      <c r="C48" s="24" t="n">
        <v>2</v>
      </c>
      <c r="D48" s="9" t="inlineStr">
        <is>
          <t>Editável na aba 15 — recalcula por fórmula</t>
        </is>
      </c>
      <c r="E48" s="12" t="inlineStr">
        <is>
          <t>Premissa provisória</t>
        </is>
      </c>
      <c r="F48" s="26" t="inlineStr">
        <is>
          <t>Automático (fórmula, aba 15)</t>
        </is>
      </c>
    </row>
    <row r="49" ht="30" customHeight="1">
      <c r="B49" s="18" t="inlineStr">
        <is>
          <t>Horas de atendimento por consultor/dia (padrão)</t>
        </is>
      </c>
      <c r="C49" s="24" t="n">
        <v>4</v>
      </c>
      <c r="D49" s="9" t="inlineStr">
        <is>
          <t>Editável na aba 15 — recalcula por fórmula</t>
        </is>
      </c>
      <c r="E49" s="12" t="inlineStr">
        <is>
          <t>Premissa provisória</t>
        </is>
      </c>
      <c r="F49" s="26" t="inlineStr">
        <is>
          <t>Automático (fórmula, aba 15)</t>
        </is>
      </c>
    </row>
    <row r="50" ht="30" customHeight="1">
      <c r="B50" s="18" t="inlineStr">
        <is>
          <t>Dias de atendimento por semana (padrão)</t>
        </is>
      </c>
      <c r="C50" s="24" t="n">
        <v>5</v>
      </c>
      <c r="D50" s="9" t="inlineStr">
        <is>
          <t>Editável na aba 15 — recalcula por fórmula</t>
        </is>
      </c>
      <c r="E50" s="12" t="inlineStr">
        <is>
          <t>Premissa provisória</t>
        </is>
      </c>
      <c r="F50" s="26" t="inlineStr">
        <is>
          <t>Automático (fórmula, aba 15)</t>
        </is>
      </c>
    </row>
    <row r="51" ht="30" customHeight="1">
      <c r="B51" s="18" t="inlineStr">
        <is>
          <t>Atendimentos simultâneos (padrão)</t>
        </is>
      </c>
      <c r="C51" s="24" t="n">
        <v>2</v>
      </c>
      <c r="D51" s="9" t="inlineStr">
        <is>
          <t>Editável na aba 15 — recalcula por fórmula</t>
        </is>
      </c>
      <c r="E51" s="12" t="inlineStr">
        <is>
          <t>Premissa provisória</t>
        </is>
      </c>
      <c r="F51" s="26" t="inlineStr">
        <is>
          <t>Automático (fórmula, aba 15)</t>
        </is>
      </c>
    </row>
    <row r="52" ht="30" customHeight="1">
      <c r="B52" s="18" t="inlineStr">
        <is>
          <t>Curso Técnico é pré-requisito para Consultoria Individual</t>
        </is>
      </c>
      <c r="C52" s="24" t="inlineStr">
        <is>
          <t>Sim</t>
        </is>
      </c>
      <c r="D52" s="9" t="inlineStr">
        <is>
          <t>PDF macro</t>
        </is>
      </c>
      <c r="E52" s="11" t="inlineStr">
        <is>
          <t>Confirmada</t>
        </is>
      </c>
      <c r="F52" s="23" t="inlineStr">
        <is>
          <t>Exige regeneração (script)</t>
        </is>
      </c>
    </row>
    <row r="54" ht="22" customHeight="1">
      <c r="B54" s="21" t="inlineStr">
        <is>
          <t>CALENDÁRIO</t>
        </is>
      </c>
    </row>
    <row r="55" ht="30" customHeight="1">
      <c r="B55" s="6" t="inlineStr">
        <is>
          <t>Item</t>
        </is>
      </c>
      <c r="C55" s="6" t="inlineStr">
        <is>
          <t>Valor</t>
        </is>
      </c>
      <c r="D55" s="6" t="inlineStr">
        <is>
          <t>Observação / Classificação</t>
        </is>
      </c>
      <c r="E55" s="6" t="inlineStr">
        <is>
          <t>Status</t>
        </is>
      </c>
      <c r="F55" s="6" t="inlineStr">
        <is>
          <t>Automação</t>
        </is>
      </c>
    </row>
    <row r="56" ht="30" customHeight="1">
      <c r="B56" s="18" t="inlineStr">
        <is>
          <t>Feriados considerados</t>
        </is>
      </c>
      <c r="C56" s="25" t="inlineStr">
        <is>
          <t>7/9, 12/10, 2/11, 20/11, 25/12, 1/1</t>
        </is>
      </c>
      <c r="D56" s="9" t="inlineStr">
        <is>
          <t>Calendário municipal de Paulínia 2026</t>
        </is>
      </c>
      <c r="E56" s="12" t="inlineStr">
        <is>
          <t>Premissa provisória</t>
        </is>
      </c>
      <c r="F56" s="23" t="inlineStr">
        <is>
          <t>Exige regeneração (script)</t>
        </is>
      </c>
    </row>
    <row r="57" ht="30" customHeight="1">
      <c r="B57" s="18" t="inlineStr">
        <is>
          <t>Recesso institucional — início</t>
        </is>
      </c>
      <c r="C57" s="22" t="n">
        <v>46377</v>
      </c>
      <c r="D57" s="9" t="inlineStr">
        <is>
          <t>Observado no cronograma anterior; não confirmado formalmente</t>
        </is>
      </c>
      <c r="E57" s="14" t="inlineStr">
        <is>
          <t>Informação pendente de validação</t>
        </is>
      </c>
      <c r="F57" s="23" t="inlineStr">
        <is>
          <t>Exige regeneração (script)</t>
        </is>
      </c>
    </row>
    <row r="58" ht="30" customHeight="1">
      <c r="B58" s="18" t="inlineStr">
        <is>
          <t>Recesso institucional — fim</t>
        </is>
      </c>
      <c r="C58" s="22" t="n">
        <v>46395</v>
      </c>
      <c r="D58" s="9" t="inlineStr">
        <is>
          <t>Idem</t>
        </is>
      </c>
      <c r="E58" s="14" t="inlineStr">
        <is>
          <t>Informação pendente de validação</t>
        </is>
      </c>
      <c r="F58" s="23" t="inlineStr">
        <is>
          <t>Exige regeneração (script)</t>
        </is>
      </c>
    </row>
  </sheetData>
  <mergeCells count="9">
    <mergeCell ref="B2:F2"/>
    <mergeCell ref="B54:F54"/>
    <mergeCell ref="B15:F15"/>
    <mergeCell ref="B3:F3"/>
    <mergeCell ref="B5:F5"/>
    <mergeCell ref="B45:F45"/>
    <mergeCell ref="B36:F36"/>
    <mergeCell ref="B8:F8"/>
    <mergeCell ref="B27:F27"/>
  </mergeCells>
  <dataValidations count="1">
    <dataValidation sqref="C6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B2:H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0" customWidth="1" min="4" max="4"/>
    <col width="30" customWidth="1" min="5" max="5"/>
    <col width="24" customWidth="1" min="6" max="6"/>
    <col width="22" customWidth="1" min="7" max="7"/>
    <col width="16" customWidth="1" min="8" max="8"/>
    <col width="3" customWidth="1" min="9" max="9"/>
  </cols>
  <sheetData>
    <row r="2" ht="28" customHeight="1">
      <c r="B2" s="1" t="inlineStr">
        <is>
          <t>DIVERGÊNCIAS ENTRE OS 4 DOCUMENTOS — NADA FOI CORRIGIDO SILENCIOSAMENTE</t>
        </is>
      </c>
    </row>
    <row r="3">
      <c r="B3" s="2" t="inlineStr">
        <is>
          <t>Toda linha aponta os documentos envolvidos, o impacto no cronograma e uma decisão provisória — a validar com Sebrae/Instituto</t>
        </is>
      </c>
    </row>
    <row r="5" ht="30" customHeight="1">
      <c r="B5" s="27" t="inlineStr">
        <is>
          <t>Tema</t>
        </is>
      </c>
      <c r="C5" s="27" t="inlineStr">
        <is>
          <t>Divergência encontrada</t>
        </is>
      </c>
      <c r="D5" s="27" t="inlineStr">
        <is>
          <t>Documentos envolvidos</t>
        </is>
      </c>
      <c r="E5" s="27" t="inlineStr">
        <is>
          <t>Valores em conflito</t>
        </is>
      </c>
      <c r="F5" s="27" t="inlineStr">
        <is>
          <t>Impacto no cronograma</t>
        </is>
      </c>
      <c r="G5" s="27" t="inlineStr">
        <is>
          <t>Decisão recomendada (provisória)</t>
        </is>
      </c>
      <c r="H5" s="27" t="inlineStr">
        <is>
          <t>Classificação</t>
        </is>
      </c>
    </row>
    <row r="6" ht="90" customHeight="1">
      <c r="B6" s="8" t="inlineStr">
        <is>
          <t>Carga horária do DH</t>
        </is>
      </c>
      <c r="C6" s="9" t="inlineStr">
        <is>
          <t>Planilha operacional e PDF contratual indicam 22h/11 encontros; reunião recente relata redução para 20h pelo Sebrae, sem documento formal.</t>
        </is>
      </c>
      <c r="D6" s="9" t="inlineStr">
        <is>
          <t>Proposta (xlsx) + PDF macro  vs.  ata de reunião / Simulação de cenários</t>
        </is>
      </c>
      <c r="E6" s="9" t="inlineStr">
        <is>
          <t>22h / 11 encontros  vs.  20h / 10 encontros</t>
        </is>
      </c>
      <c r="F6" s="9" t="inlineStr">
        <is>
          <t>Muito alto: cada turma de DH muda ±1 semana de duração; em 15 turmas encadeadas, o efeito acumulado desloca o início dos cursos técnicos e o fim da fase DH em várias semanas.</t>
        </is>
      </c>
      <c r="G6" s="9" t="inlineStr">
        <is>
          <t>Usar 20h/10 encontros apenas como premissa de trabalho (é o que consta na simulação mais recente), mas obter confirmação formal por escrito do Sebrae antes de compromissar datas com a Petrobras.</t>
        </is>
      </c>
      <c r="H6" s="13" t="inlineStr">
        <is>
          <t>Divergência entre documentos</t>
        </is>
      </c>
    </row>
    <row r="7" ht="90" customHeight="1">
      <c r="B7" s="8" t="inlineStr">
        <is>
          <t>Quantidade de turmas de Curso Técnico</t>
        </is>
      </c>
      <c r="C7" s="9" t="inlineStr">
        <is>
          <t>O documento macro contratual (Anexos do projeto) indica 13 turmas para o Núcleo 2 (Paulínia); a planilha operacional detalhada soma apenas 10 turmas nos 7 temas listados.</t>
        </is>
      </c>
      <c r="D7" s="9" t="inlineStr">
        <is>
          <t>PDF "Apres. Projeto e Anexos 01.2026"  vs.  Proposta (xlsx)</t>
        </is>
      </c>
      <c r="E7" s="9" t="inlineStr">
        <is>
          <t>13 turmas (meta contratual)  vs.  10 turmas (planilha operacional)</t>
        </is>
      </c>
      <c r="F7" s="9" t="inlineStr">
        <is>
          <t>Muito alto: se 13 for a meta válida, faltam 3 turmas/fornecedores a contratar, o que desloca o fim da fase de cursos técnicos e a meta de 195 participantes.</t>
        </is>
      </c>
      <c r="G7" s="9" t="inlineStr">
        <is>
          <t>Levantar com a coordenação quais 3 turmas adicionais fariam sentido e formalizar com os fornecedores antes de assumir 13 como meta. TODAS as datas de CT nesta V2 são propostas para simulação — ver aba 14.</t>
        </is>
      </c>
      <c r="H7" s="13" t="inlineStr">
        <is>
          <t>Divergência entre documentos</t>
        </is>
      </c>
    </row>
    <row r="8" ht="90" customHeight="1">
      <c r="B8" s="8" t="inlineStr">
        <is>
          <t>Regra de formação do DH a partir das Palestras</t>
        </is>
      </c>
      <c r="C8" s="9" t="inlineStr">
        <is>
          <t>A planilha operacional traz duas anotações conflitantes: "2 PS = 1 DH" (fecha com 15 turmas) e "4 OS = 1 DH" (não fecha; "OS" não corresponde a nenhuma sigla da trilha).</t>
        </is>
      </c>
      <c r="D8" s="9" t="inlineStr">
        <is>
          <t>Proposta (xlsx), observações A27 e A30</t>
        </is>
      </c>
      <c r="E8" s="9" t="inlineStr">
        <is>
          <t>2 PS = 1 DH  vs.  4 OS = 1 DH</t>
        </is>
      </c>
      <c r="F8" s="9" t="inlineStr">
        <is>
          <t>Alto: define o ritmo de liberação de novos lotes de DH; usar a regra errada muda a data de abertura de cada turma.</t>
        </is>
      </c>
      <c r="G8" s="9" t="inlineStr">
        <is>
          <t>Adotar "2 PS = 1 DH" (única leitura que fecha com as 15 turmas confirmadas) e tratar "4 OS = 1 DH" como possível erro de digitação a confirmar.</t>
        </is>
      </c>
      <c r="H8" s="13" t="inlineStr">
        <is>
          <t>Divergência entre documentos</t>
        </is>
      </c>
    </row>
    <row r="9" ht="90" customHeight="1">
      <c r="B9" s="8" t="inlineStr">
        <is>
          <t>Espaço físico para a Oficina de Gestão</t>
        </is>
      </c>
      <c r="C9" s="9" t="inlineStr">
        <is>
          <t>O cenário recomendado (B) usa 3 salas para o DH, mas essas 3 salas ficam ocupadas por lotes consecutivos durante toda a fase (sem vaga livre). A V1 deste arquivo assumiu 3 espaços ADICIONAIS sem confirmar isso — foi um erro de tratamento apontado na revisão crítica.</t>
        </is>
      </c>
      <c r="D9" s="9" t="inlineStr">
        <is>
          <t>Achado desta análise (nenhum dos 4 documentos originais cruzou a agenda de sala do DH com a da OG)</t>
        </is>
      </c>
      <c r="E9" s="9" t="inlineStr">
        <is>
          <t>B1: 3 salas de DH + 3 espaços adicionais (6 no total, NÃO confirmado)  vs.  B2: 3 salas compartilhadas (OG só após o fim total do DH, em 04/11)</t>
        </is>
      </c>
      <c r="F9" s="9" t="inlineStr">
        <is>
          <t>Muito alto: se B1 não for viabilizado, a OG só pode começar após 04/11 (variante B2), atrasando toda a cadeia até a Consultoria Individual em até ~2 semanas.</t>
        </is>
      </c>
      <c r="G9" s="9" t="inlineStr">
        <is>
          <t>Não tratar B1 como confirmado. Levar as duas alternativas (B1 x B2, comparadas na aba 07_CENARIO_B) à coordenação para decisão explícita sobre espaço físico antes de comunicar datas de OG.</t>
        </is>
      </c>
      <c r="H9" s="13" t="inlineStr">
        <is>
          <t>Divergência entre documentos</t>
        </is>
      </c>
    </row>
    <row r="10" ht="90" customHeight="1">
      <c r="B10" s="8" t="inlineStr">
        <is>
          <t>Regra de composição da Oficina de Gestão e Curso Técnico</t>
        </is>
      </c>
      <c r="C10" s="9" t="inlineStr">
        <is>
          <t>A planilha operacional lista 15 turmas de OG (1 para cada DH), mas também traz a anotação "2 DH = 1 OG + 1 CT", que implicaria só ~7-8 turmas de OG para 15 DH.</t>
        </is>
      </c>
      <c r="D10" s="9" t="inlineStr">
        <is>
          <t>Proposta (xlsx), linha J5 vs. observação A28</t>
        </is>
      </c>
      <c r="E10" s="9" t="inlineStr">
        <is>
          <t>15 turmas de OG (1:1 com DH)  vs.  ~7-8 turmas de OG (1 a cada 2 DH)</t>
        </is>
      </c>
      <c r="F10" s="9" t="inlineStr">
        <is>
          <t>Muito alto: dobra ou reduz pela metade a necessidade de espaço/horário de OG, afetando toda a fase seguinte à DH.</t>
        </is>
      </c>
      <c r="G10" s="9" t="inlineStr">
        <is>
          <t>Confirmar com a coordenação se cada turma de DH forma sua própria OG (15 no total) ou se as turmas de DH são pareadas antes da OG (aprox. 7-8 no total).</t>
        </is>
      </c>
      <c r="H10" s="13" t="inlineStr">
        <is>
          <t>Divergência entre documentos</t>
        </is>
      </c>
    </row>
    <row r="11" ht="90" customHeight="1">
      <c r="B11" s="8" t="inlineStr">
        <is>
          <t>Quórum mínimo dos cursos técnicos</t>
        </is>
      </c>
      <c r="C11" s="9" t="inlineStr">
        <is>
          <t>A planilha operacional traz mínimos de 14 ou 15 participantes por turma, variando por curso; a reunião menciona 16 como referência geral.</t>
        </is>
      </c>
      <c r="D11" s="9" t="inlineStr">
        <is>
          <t>Proposta (xlsx), coluna H  vs.  ata de reunião</t>
        </is>
      </c>
      <c r="E11" s="9" t="inlineStr">
        <is>
          <t>14-15 (planilha, por curso)  vs.  16 (reunião, geral)</t>
        </is>
      </c>
      <c r="F11" s="9" t="inlineStr">
        <is>
          <t>Alto: se 16 for o piso real exigido pelos fornecedores, pode faltar gente inscrita quando 4 turmas de DH (≈80 pessoas) alimentam 2 turmas técnicas.</t>
        </is>
      </c>
      <c r="G11" s="9" t="inlineStr">
        <is>
          <t>Confirmar o mínimo por fornecedor/curso antes de fechar contratos, em vez de aplicar um número único a todos os cursos.</t>
        </is>
      </c>
      <c r="H11" s="13" t="inlineStr">
        <is>
          <t>Divergência entre documentos</t>
        </is>
      </c>
    </row>
    <row r="12" ht="90" customHeight="1">
      <c r="B12" s="8" t="inlineStr">
        <is>
          <t>Disponibilidade de salas para o DH</t>
        </is>
      </c>
      <c r="C12" s="9" t="inlineStr">
        <is>
          <t>O cronograma anterior da coordenação foi desenhado com 3 salas simultâneas; a discussão mais recente também cogita apenas 2 salas.</t>
        </is>
      </c>
      <c r="D12" s="9" t="inlineStr">
        <is>
          <t>"Possibilidades de Cronograma" (título da aba: "3 Salas Simultâneas")  vs.  briefing / Simulação de cenários</t>
        </is>
      </c>
      <c r="E12" s="9" t="inlineStr">
        <is>
          <t>3 salas  vs.  2 salas</t>
        </is>
      </c>
      <c r="F12" s="9" t="inlineStr">
        <is>
          <t>Muito alto: é a variável que mais muda a duração total da fase de DH.</t>
        </is>
      </c>
      <c r="G12" s="9" t="inlineStr">
        <is>
          <t>Confirmar com antecedência a disponibilidade real e exclusiva de salas à noite antes de comunicar datas ao Sebrae — ver comparativo de cenários na aba 05.</t>
        </is>
      </c>
      <c r="H12" s="13" t="inlineStr">
        <is>
          <t>Divergência entre documentos</t>
        </is>
      </c>
    </row>
    <row r="13" ht="90" customHeight="1">
      <c r="B13" s="8" t="inlineStr">
        <is>
          <t>Recesso institucional</t>
        </is>
      </c>
      <c r="C13" s="9" t="inlineStr">
        <is>
          <t>A simulação de cenários bloqueia 21/12/2026 a 08/01/2027 como recesso, mas não há confirmação formal de que o Instituto/Sebrae adotarão esse recesso.</t>
        </is>
      </c>
      <c r="D13" s="9" t="inlineStr">
        <is>
          <t>Simulação de cenários (aba "Premissas e Pendências")</t>
        </is>
      </c>
      <c r="E13" s="9" t="inlineStr">
        <is>
          <t>21/12/2026 a 08/01/2027 (assumido)  vs.  nenhuma confirmação</t>
        </is>
      </c>
      <c r="F13" s="9" t="inlineStr">
        <is>
          <t>Médio: cenários que já se estendem para dezembro/janeiro ficam ainda mais espremidos ou mais longos conforme o recesso seja confirmado ou não.</t>
        </is>
      </c>
      <c r="G13" s="9" t="inlineStr">
        <is>
          <t>Confirmar a duração exata do recesso institucional 2026/2027 junto à coordenação administrativa.</t>
        </is>
      </c>
      <c r="H13" s="14" t="inlineStr">
        <is>
          <t>Informação pendente de validação</t>
        </is>
      </c>
    </row>
    <row r="14" ht="90" customHeight="1">
      <c r="B14" s="8" t="inlineStr">
        <is>
          <t>Datas com ano incorreto no cronograma anterior</t>
        </is>
      </c>
      <c r="C14" s="9" t="inlineStr">
        <is>
          <t>A aba "Paulínia" do arquivo "Possibilidades de Cronograma" tem uma seção rotulada "Janeiro de 2027" cujas datas de calendário estão grafadas como 2026, e ao menos uma linha traz data de término anterior à de início.</t>
        </is>
      </c>
      <c r="D14" s="9" t="inlineStr">
        <is>
          <t>"Possibilidades de Cronograma- Paulínia.xlsx", aba Paulínia</t>
        </is>
      </c>
      <c r="E14" s="9" t="inlineStr">
        <is>
          <t>Rótulo "Janeiro de 2027" com datas grafadas 2026; DHP9 com fim (18/11) anterior ao início (05/12)</t>
        </is>
      </c>
      <c r="F14" s="9" t="inlineStr">
        <is>
          <t>Alto: se usado sem correção, o leitor pode aceitar datas no ano errado ou uma janela invertida.</t>
        </is>
      </c>
      <c r="G14" s="9" t="inlineStr">
        <is>
          <t>Não usar essa planilha como fonte de datas finais; tratá-la apenas como registro histórico da tentativa anterior.</t>
        </is>
      </c>
      <c r="H14" s="13" t="inlineStr">
        <is>
          <t>Divergência entre documentos</t>
        </is>
      </c>
    </row>
    <row r="15" ht="90" customHeight="1">
      <c r="B15" s="8" t="inlineStr">
        <is>
          <t>Fornecedor do curso de Jardinagem</t>
        </is>
      </c>
      <c r="C15" s="9" t="inlineStr">
        <is>
          <t>O cronograma anterior da coordenação registra o fornecedor do curso de Jardinagem como "?" — não definido.</t>
        </is>
      </c>
      <c r="D15" s="9" t="inlineStr">
        <is>
          <t>"Possibilidades de Cronograma- Paulínia.xlsx", célula R48</t>
        </is>
      </c>
      <c r="E15" s="9" t="inlineStr">
        <is>
          <t>Fornecedor: "?"</t>
        </is>
      </c>
      <c r="F15" s="9" t="inlineStr">
        <is>
          <t>Alto: sem fornecedor confirmado, a turma de Jardinagem não pode ser efetivamente contratada nem ter data de início garantida.</t>
        </is>
      </c>
      <c r="G15" s="9" t="inlineStr">
        <is>
          <t>Priorizar a definição do fornecedor de Jardinagem antes de comunicar a data desta turma aos participantes.</t>
        </is>
      </c>
      <c r="H15" s="14" t="inlineStr">
        <is>
          <t>Informação pendente de validação</t>
        </is>
      </c>
    </row>
    <row r="16" ht="90" customHeight="1">
      <c r="B16" s="8" t="inlineStr">
        <is>
          <t>Formação real de turma a partir das Palestras (quórum)</t>
        </is>
      </c>
      <c r="C16" s="9" t="inlineStr">
        <is>
          <t>O cronograma trata a formação de cada lote de DH como certa, mas nenhum documento confirma que toda Palestra realizada converte participantes suficientes em turma fechada.</t>
        </is>
      </c>
      <c r="D16" s="9" t="inlineStr">
        <is>
          <t>Nenhum dos 4 documentos discute risco de não-formação de turma</t>
        </is>
      </c>
      <c r="E16" s="9" t="inlineStr">
        <is>
          <t>Suposição implícita: 100% das Palestras geram quórum para o próximo lote de DH</t>
        </is>
      </c>
      <c r="F16" s="9" t="inlineStr">
        <is>
          <t>Alto: se um lote não atingir quórum, todo o restante da cadeia (a partir daquele lote) atrasa — ver simulação de atraso de 7 dias na aba 07_CENARIO_B.</t>
        </is>
      </c>
      <c r="G16" s="9" t="inlineStr">
        <is>
          <t>Adicionar marcos de validação de quórum antes de cada lote (aba 06-09) e tratar a formação de turma como "condicionada", não automática.</t>
        </is>
      </c>
      <c r="H16" s="13" t="inlineStr">
        <is>
          <t>Divergência entre documentos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2:R2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20" customWidth="1" min="8" max="8"/>
    <col width="4" customWidth="1" min="9" max="9"/>
    <col width="20" customWidth="1" min="10" max="10"/>
    <col width="4" customWidth="1" min="11" max="11"/>
    <col width="20" customWidth="1" min="12" max="12"/>
    <col width="3" customWidth="1" min="13" max="13"/>
  </cols>
  <sheetData>
    <row r="2" ht="28" customHeight="1">
      <c r="B2" s="1" t="inlineStr">
        <is>
          <t>FLUXO DA TRILHA — PALESTRA → DH → OFICINA DE GESTÃO → CURSO TÉCNICO → EAD → CONSULTORIA</t>
        </is>
      </c>
    </row>
    <row r="3">
      <c r="B3" s="2" t="inlineStr">
        <is>
          <t>Sequência obrigatória de dependências. Regras quantitativas mostradas como premissa/divergência, nunca como fato quando não confirmadas.</t>
        </is>
      </c>
    </row>
    <row r="5" ht="20" customHeight="1">
      <c r="B5" s="28" t="inlineStr">
        <is>
          <t>PALESTRA DE
SENSIBILIZAÇÃO
(PS)</t>
        </is>
      </c>
      <c r="C5" s="29" t="n"/>
      <c r="E5" s="30" t="inlineStr">
        <is>
          <t>DESENVOLVIMENTO
HUMANO
(DH)</t>
        </is>
      </c>
      <c r="F5" s="31" t="n"/>
      <c r="H5" s="32" t="inlineStr">
        <is>
          <t>OFICINA DE
GESTÃO
(OG)</t>
        </is>
      </c>
      <c r="I5" s="33" t="n"/>
      <c r="K5" s="34" t="inlineStr">
        <is>
          <t>CURSO
TÉCNICO
(CT)</t>
        </is>
      </c>
      <c r="L5" s="35" t="n"/>
      <c r="N5" s="36" t="inlineStr">
        <is>
          <t>CURSO
EAD</t>
        </is>
      </c>
      <c r="O5" s="37" t="n"/>
      <c r="Q5" s="38" t="inlineStr">
        <is>
          <t>CONSULTORIA
INDIVIDUAL
(CI)</t>
        </is>
      </c>
      <c r="R5" s="39" t="n"/>
    </row>
    <row r="6" ht="20" customHeight="1">
      <c r="B6" s="29" t="n"/>
      <c r="C6" s="29" t="n"/>
      <c r="D6" s="40" t="inlineStr">
        <is>
          <t>→</t>
        </is>
      </c>
      <c r="E6" s="31" t="n"/>
      <c r="F6" s="31" t="n"/>
      <c r="G6" s="40" t="inlineStr">
        <is>
          <t>→</t>
        </is>
      </c>
      <c r="H6" s="33" t="n"/>
      <c r="I6" s="33" t="n"/>
      <c r="J6" s="40" t="inlineStr">
        <is>
          <t>→</t>
        </is>
      </c>
      <c r="K6" s="35" t="n"/>
      <c r="L6" s="35" t="n"/>
      <c r="M6" s="40" t="inlineStr">
        <is>
          <t>→</t>
        </is>
      </c>
      <c r="N6" s="37" t="n"/>
      <c r="O6" s="37" t="n"/>
      <c r="P6" s="40" t="inlineStr">
        <is>
          <t>→</t>
        </is>
      </c>
      <c r="Q6" s="39" t="n"/>
      <c r="R6" s="39" t="n"/>
    </row>
    <row r="7" ht="20" customHeight="1">
      <c r="B7" s="29" t="n"/>
      <c r="C7" s="29" t="n"/>
      <c r="E7" s="31" t="n"/>
      <c r="F7" s="31" t="n"/>
      <c r="H7" s="33" t="n"/>
      <c r="I7" s="33" t="n"/>
      <c r="K7" s="35" t="n"/>
      <c r="L7" s="35" t="n"/>
      <c r="N7" s="37" t="n"/>
      <c r="O7" s="37" t="n"/>
      <c r="Q7" s="39" t="n"/>
      <c r="R7" s="39" t="n"/>
    </row>
    <row r="8">
      <c r="B8" s="41" t="inlineStr">
        <is>
          <t>30 turmas</t>
        </is>
      </c>
      <c r="E8" s="41" t="inlineStr">
        <is>
          <t>15 turmas</t>
        </is>
      </c>
      <c r="H8" s="41" t="inlineStr">
        <is>
          <t>15 turmas* (B1/B2)</t>
        </is>
      </c>
      <c r="K8" s="41" t="inlineStr">
        <is>
          <t>10 turmas* (simulação)</t>
        </is>
      </c>
      <c r="N8" s="41" t="inlineStr">
        <is>
          <t>contínuo</t>
        </is>
      </c>
      <c r="Q8" s="41" t="inlineStr">
        <is>
          <t>meta 150 pessoas</t>
        </is>
      </c>
    </row>
    <row r="10">
      <c r="B10" s="42" t="inlineStr">
        <is>
          <t>* Ver divergência quantitativa e status "condicionado à validação" nas abas 01, 02, 07 e 14.</t>
        </is>
      </c>
    </row>
    <row r="12" ht="26" customHeight="1">
      <c r="B12" s="6" t="inlineStr">
        <is>
          <t>Relação quantitativa citada nos documentos</t>
        </is>
      </c>
      <c r="C12" s="6" t="n"/>
      <c r="D12" s="6" t="n"/>
      <c r="E12" s="6" t="n"/>
      <c r="F12" s="6" t="inlineStr">
        <is>
          <t>Fecha com os totais confirmados (30 PS / 15 DH)?</t>
        </is>
      </c>
      <c r="G12" s="6" t="n"/>
      <c r="H12" s="6" t="n"/>
      <c r="I12" s="6" t="n"/>
      <c r="J12" s="6" t="inlineStr">
        <is>
          <t>Classificação</t>
        </is>
      </c>
      <c r="K12" s="6" t="n"/>
      <c r="L12" s="6" t="n"/>
    </row>
    <row r="13" ht="60" customHeight="1">
      <c r="B13" s="9" t="inlineStr">
        <is>
          <t>30 PS → 15 DH  (regra: 2 PS = 1 DH)</t>
        </is>
      </c>
      <c r="C13" s="43" t="n"/>
      <c r="D13" s="43" t="n"/>
      <c r="E13" s="43" t="n"/>
      <c r="F13" s="9" t="inlineStr">
        <is>
          <t>Sim — 30 ÷ 2 = 15, bate exatamente com o total confirmado. Mas a formação de cada turma depende de quórum real — ver marcos de validação nas abas 06-09.</t>
        </is>
      </c>
      <c r="G13" s="43" t="n"/>
      <c r="H13" s="43" t="n"/>
      <c r="I13" s="43" t="n"/>
      <c r="J13" s="12" t="inlineStr">
        <is>
          <t>Premissa provisória</t>
        </is>
      </c>
      <c r="K13" s="43" t="n"/>
      <c r="L13" s="43" t="n"/>
    </row>
    <row r="14" ht="60" customHeight="1">
      <c r="B14" s="9" t="inlineStr">
        <is>
          <t>30 PS → 15 DH  (regra: 4 OS = 1 DH)</t>
        </is>
      </c>
      <c r="C14" s="43" t="n"/>
      <c r="D14" s="43" t="n"/>
      <c r="E14" s="43" t="n"/>
      <c r="F14" s="9" t="inlineStr">
        <is>
          <t>Não — 30 ÷ 4 = 7,5, não bate com 15 turmas. Sigla "OS" também não existe na trilha.</t>
        </is>
      </c>
      <c r="G14" s="43" t="n"/>
      <c r="H14" s="43" t="n"/>
      <c r="I14" s="43" t="n"/>
      <c r="J14" s="13" t="inlineStr">
        <is>
          <t>Divergência entre documentos</t>
        </is>
      </c>
      <c r="K14" s="43" t="n"/>
      <c r="L14" s="43" t="n"/>
    </row>
    <row r="15" ht="60" customHeight="1">
      <c r="B15" s="9" t="inlineStr">
        <is>
          <t>4 DH concluídos → 2 turmas de Curso Técnico (~80 pessoas formando 2 turmas de ~15-18)</t>
        </is>
      </c>
      <c r="C15" s="43" t="n"/>
      <c r="D15" s="43" t="n"/>
      <c r="E15" s="43" t="n"/>
      <c r="F15" s="9" t="inlineStr">
        <is>
          <t>Aritmeticamente aproximado; indica que nem todos os 80 formandos migram para o mesmo curso técnico. Datas de CT são propostas para simulação, não compromisso — ver aba 14.</t>
        </is>
      </c>
      <c r="G15" s="43" t="n"/>
      <c r="H15" s="43" t="n"/>
      <c r="I15" s="43" t="n"/>
      <c r="J15" s="12" t="inlineStr">
        <is>
          <t>Premissa provisória</t>
        </is>
      </c>
      <c r="K15" s="43" t="n"/>
      <c r="L15" s="43" t="n"/>
    </row>
    <row r="16" ht="60" customHeight="1">
      <c r="B16" s="9" t="inlineStr">
        <is>
          <t>2 DH = 1 OG + 1 CT</t>
        </is>
      </c>
      <c r="C16" s="43" t="n"/>
      <c r="D16" s="43" t="n"/>
      <c r="E16" s="43" t="n"/>
      <c r="F16" s="9" t="inlineStr">
        <is>
          <t>Não fecha com as 15 turmas de OG citadas na planilha operacional (implicaria ~7-8 OG, não 15).</t>
        </is>
      </c>
      <c r="G16" s="43" t="n"/>
      <c r="H16" s="43" t="n"/>
      <c r="I16" s="43" t="n"/>
      <c r="J16" s="13" t="inlineStr">
        <is>
          <t>Divergência entre documentos</t>
        </is>
      </c>
      <c r="K16" s="43" t="n"/>
      <c r="L16" s="43" t="n"/>
    </row>
    <row r="17" ht="60" customHeight="1">
      <c r="B17" s="9" t="inlineStr">
        <is>
          <t>15 DH → 15 OG (1 para 1)</t>
        </is>
      </c>
      <c r="C17" s="43" t="n"/>
      <c r="D17" s="43" t="n"/>
      <c r="E17" s="43" t="n"/>
      <c r="F17" s="9" t="inlineStr">
        <is>
          <t>Consistente com o total de 15 turmas de OG, mas contradiz a regra "2 DH = 1 OG + 1 CT". Depende ainda de qual variante de espaço (B1 ou B2) for adotada.</t>
        </is>
      </c>
      <c r="G17" s="43" t="n"/>
      <c r="H17" s="43" t="n"/>
      <c r="I17" s="43" t="n"/>
      <c r="J17" s="12" t="inlineStr">
        <is>
          <t>Premissa provisória</t>
        </is>
      </c>
      <c r="K17" s="43" t="n"/>
      <c r="L17" s="43" t="n"/>
    </row>
    <row r="19">
      <c r="B19" s="3" t="inlineStr">
        <is>
          <t>LEGENDA DE ETAPAS</t>
        </is>
      </c>
    </row>
    <row r="20">
      <c r="B20" s="44" t="inlineStr"/>
      <c r="C20" s="45" t="inlineStr">
        <is>
          <t>PS - Palestra de Sensibilização</t>
        </is>
      </c>
    </row>
    <row r="21">
      <c r="B21" s="46" t="inlineStr"/>
      <c r="C21" s="45" t="inlineStr">
        <is>
          <t>DH - Desenvolvimento Humano</t>
        </is>
      </c>
    </row>
    <row r="22">
      <c r="B22" s="47" t="inlineStr"/>
      <c r="C22" s="45" t="inlineStr">
        <is>
          <t>OG - Oficina de Gestão</t>
        </is>
      </c>
    </row>
    <row r="23">
      <c r="B23" s="48" t="inlineStr"/>
      <c r="C23" s="45" t="inlineStr">
        <is>
          <t>CT - Curso Técnico</t>
        </is>
      </c>
    </row>
    <row r="24">
      <c r="B24" s="49" t="inlineStr"/>
      <c r="C24" s="45" t="inlineStr">
        <is>
          <t>EAD - Curso Online</t>
        </is>
      </c>
    </row>
    <row r="25">
      <c r="B25" s="50" t="inlineStr"/>
      <c r="C25" s="45" t="inlineStr">
        <is>
          <t>CI - Consultoria Individual</t>
        </is>
      </c>
    </row>
    <row r="26">
      <c r="B26" s="51" t="inlineStr"/>
      <c r="C26" s="45" t="inlineStr">
        <is>
          <t>Recesso / feriado</t>
        </is>
      </c>
    </row>
  </sheetData>
  <mergeCells count="32">
    <mergeCell ref="F13:I13"/>
    <mergeCell ref="H5:I7"/>
    <mergeCell ref="B3:L3"/>
    <mergeCell ref="B15:E15"/>
    <mergeCell ref="E8:F8"/>
    <mergeCell ref="Q8:R8"/>
    <mergeCell ref="F14:I14"/>
    <mergeCell ref="J16:L16"/>
    <mergeCell ref="E5:F7"/>
    <mergeCell ref="K5:L7"/>
    <mergeCell ref="B16:E16"/>
    <mergeCell ref="B2:L2"/>
    <mergeCell ref="Q5:R7"/>
    <mergeCell ref="F16:I16"/>
    <mergeCell ref="J12:L12"/>
    <mergeCell ref="B8:C8"/>
    <mergeCell ref="N8:O8"/>
    <mergeCell ref="N5:O7"/>
    <mergeCell ref="K8:L8"/>
    <mergeCell ref="B12:E12"/>
    <mergeCell ref="F12:I12"/>
    <mergeCell ref="F15:I15"/>
    <mergeCell ref="J17:L17"/>
    <mergeCell ref="B14:E14"/>
    <mergeCell ref="B17:E17"/>
    <mergeCell ref="J14:L14"/>
    <mergeCell ref="F17:I17"/>
    <mergeCell ref="B13:E13"/>
    <mergeCell ref="J13:L13"/>
    <mergeCell ref="B5:C7"/>
    <mergeCell ref="H8:I8"/>
    <mergeCell ref="J15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6B5C"/>
    <outlinePr summaryBelow="1" summaryRight="1"/>
    <pageSetUpPr/>
  </sheetPr>
  <dimension ref="B2:O3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</cols>
  <sheetData>
    <row r="2" ht="34" customHeight="1">
      <c r="B2" s="1" t="inlineStr">
        <is>
          <t>PARTIU! APRENDER E EMPREENDER — PAULÍNIA (V2)</t>
        </is>
      </c>
    </row>
    <row r="3">
      <c r="B3" s="2" t="inlineStr">
        <is>
          <t>Trilha completa: Palestra de Sensibilização → Desenvolvimento Humano → Oficina de Gestão → Curso Técnico → EAD → Consultoria Individual</t>
        </is>
      </c>
    </row>
    <row r="5" ht="30" customHeight="1">
      <c r="B5" s="52" t="inlineStr">
        <is>
          <t>PERÍODO TOTAL: 11/08/2026 até parte de 2027 (ver observação abaixo) — cenário definido em 01_PREMISSAS ("Cenário recomendado")</t>
        </is>
      </c>
    </row>
    <row r="7" ht="34" customHeight="1">
      <c r="B7" s="53" t="inlineStr">
        <is>
          <t>Início das Palestras</t>
        </is>
      </c>
      <c r="C7" s="54" t="inlineStr">
        <is>
          <t>Início do DH (cenário sel.)</t>
        </is>
      </c>
      <c r="D7" s="54" t="inlineStr">
        <is>
          <t>4ª turma de DH concluída</t>
        </is>
      </c>
      <c r="E7" s="54" t="inlineStr">
        <is>
          <t>Fim do DH (cenário sel.)</t>
        </is>
      </c>
      <c r="F7" s="55" t="inlineStr">
        <is>
          <t>1º Curso Técnico (proposta p/ simulação)</t>
        </is>
      </c>
    </row>
    <row r="8" ht="20" customHeight="1">
      <c r="B8" s="56">
        <f>DATE(2026,8,11)</f>
        <v/>
      </c>
      <c r="C8" s="56">
        <f>INDEX('05_COMPARATIVO_CENARIOS'!$H$6:$H$9,MATCH('01_PREMISSAS'!C6,'05_COMPARATIVO_CENARIOS'!$B$6:$B$9,0))</f>
        <v/>
      </c>
      <c r="D8" s="56">
        <f>INDEX('05_COMPARATIVO_CENARIOS'!$I$6:$I$9,MATCH('01_PREMISSAS'!C6,'05_COMPARATIVO_CENARIOS'!$B$6:$B$9,0))</f>
        <v/>
      </c>
      <c r="E8" s="56">
        <f>INDEX('05_COMPARATIVO_CENARIOS'!$J$6:$J$9,MATCH('01_PREMISSAS'!C6,'05_COMPARATIVO_CENARIOS'!$B$6:$B$9,0))</f>
        <v/>
      </c>
      <c r="F8" s="56" t="n">
        <v>46293</v>
      </c>
    </row>
    <row r="10" ht="26" customHeight="1">
      <c r="B10" s="57" t="inlineStr">
        <is>
          <t>Os 4 primeiros marcos recalculam por fórmula conforme o "Cenário recomendado" escolhido em 01_PREMISSAS. O marco de Curso Técnico segue fixo no Cenário B nesta versão (a grade completa de CT/OG/EAD/CI exige regeneração do arquivo para outro cenário — ver matriz em 00_LEIA-ME).</t>
        </is>
      </c>
    </row>
    <row r="12">
      <c r="B12" s="17" t="inlineStr">
        <is>
          <t>LINHA DO TEMPO — CENÁRIO B (referência desta versão)</t>
        </is>
      </c>
    </row>
    <row r="13" ht="30" customHeight="1">
      <c r="B13" s="6" t="inlineStr">
        <is>
          <t>Etapa</t>
        </is>
      </c>
      <c r="C13" s="6" t="inlineStr">
        <is>
          <t>AUG/26</t>
        </is>
      </c>
      <c r="D13" s="6" t="inlineStr">
        <is>
          <t>SEP/26</t>
        </is>
      </c>
      <c r="E13" s="6" t="inlineStr">
        <is>
          <t>OCT/26</t>
        </is>
      </c>
      <c r="F13" s="6" t="inlineStr">
        <is>
          <t>NOV/26</t>
        </is>
      </c>
      <c r="G13" s="6" t="inlineStr">
        <is>
          <t>DEC/26</t>
        </is>
      </c>
      <c r="H13" s="6" t="inlineStr">
        <is>
          <t>JAN/27</t>
        </is>
      </c>
      <c r="I13" s="6" t="inlineStr">
        <is>
          <t>FEB/27</t>
        </is>
      </c>
    </row>
    <row r="14" ht="20" customHeight="1">
      <c r="B14" s="18" t="inlineStr">
        <is>
          <t>Palestras de Sensibilização</t>
        </is>
      </c>
      <c r="C14" s="29" t="n"/>
      <c r="D14" s="29" t="n"/>
      <c r="E14" s="29" t="n"/>
      <c r="F14" s="43" t="n"/>
      <c r="G14" s="43" t="n"/>
      <c r="H14" s="43" t="n"/>
      <c r="I14" s="43" t="n"/>
    </row>
    <row r="15" ht="20" customHeight="1">
      <c r="B15" s="18" t="inlineStr">
        <is>
          <t>Desenvolvimento Humano</t>
        </is>
      </c>
      <c r="C15" s="31" t="n"/>
      <c r="D15" s="31" t="n"/>
      <c r="E15" s="31" t="n"/>
      <c r="F15" s="31" t="n"/>
      <c r="G15" s="43" t="n"/>
      <c r="H15" s="43" t="n"/>
      <c r="I15" s="43" t="n"/>
    </row>
    <row r="16" ht="20" customHeight="1">
      <c r="B16" s="18" t="inlineStr">
        <is>
          <t>Oficina de Gestão (B1, não confirmada)</t>
        </is>
      </c>
      <c r="C16" s="43" t="n"/>
      <c r="D16" s="33" t="n"/>
      <c r="E16" s="33" t="n"/>
      <c r="F16" s="33" t="n"/>
      <c r="G16" s="43" t="n"/>
      <c r="H16" s="43" t="n"/>
      <c r="I16" s="43" t="n"/>
    </row>
    <row r="17" ht="20" customHeight="1">
      <c r="B17" s="18" t="inlineStr">
        <is>
          <t>Cursos Técnicos (proposta p/ simulação)</t>
        </is>
      </c>
      <c r="C17" s="43" t="n"/>
      <c r="D17" s="35" t="n"/>
      <c r="E17" s="35" t="n"/>
      <c r="F17" s="35" t="n"/>
      <c r="G17" s="35" t="n"/>
      <c r="H17" s="35" t="n"/>
      <c r="I17" s="35" t="n"/>
    </row>
    <row r="18" ht="20" customHeight="1">
      <c r="B18" s="18" t="inlineStr">
        <is>
          <t>Curso EAD</t>
        </is>
      </c>
      <c r="C18" s="43" t="n"/>
      <c r="D18" s="43" t="n"/>
      <c r="E18" s="37" t="n"/>
      <c r="F18" s="43" t="n"/>
      <c r="G18" s="43" t="n"/>
      <c r="H18" s="43" t="n"/>
      <c r="I18" s="43" t="n"/>
    </row>
    <row r="19" ht="20" customHeight="1">
      <c r="B19" s="18" t="inlineStr">
        <is>
          <t>Consultoria Individual (estimado)</t>
        </is>
      </c>
      <c r="C19" s="43" t="n"/>
      <c r="D19" s="43" t="n"/>
      <c r="E19" s="39" t="n"/>
      <c r="F19" s="39" t="n"/>
      <c r="G19" s="39" t="n"/>
      <c r="H19" s="39" t="n"/>
      <c r="I19" s="43" t="n"/>
    </row>
    <row r="20" ht="20" customHeight="1">
      <c r="B20" s="18" t="inlineStr">
        <is>
          <t>Recesso / feriados</t>
        </is>
      </c>
      <c r="C20" s="43" t="n"/>
      <c r="D20" s="58" t="n"/>
      <c r="E20" s="58" t="n"/>
      <c r="F20" s="58" t="n"/>
      <c r="G20" s="58" t="n"/>
      <c r="H20" s="58" t="n"/>
      <c r="I20" s="43" t="n"/>
    </row>
    <row r="22" ht="24" customHeight="1">
      <c r="B22" s="59" t="inlineStr">
        <is>
          <t>RECOMENDAÇÃO CONDICIONADA (NÃO É UMA APROVAÇÃO): Cenário B — 3 salas, DH 5x/semana.
Menor duração — recomendado para negociação, condicionado à validação de salas, facilitadores, adesão dos participantes e espaços para a Oficina de Gestão (variantes B1 x B2, ver aba 07_CENARIO_B).
O cenário B conclui o Desenvolvimento Humano antes do recesso e antecipa o início das etapas seguintes. Parte dos cursos técnicos e das consultorias permanece programada para 2027.</t>
        </is>
      </c>
    </row>
    <row r="23" ht="24" customHeight="1"/>
    <row r="24" ht="24" customHeight="1"/>
    <row r="25" ht="24" customHeight="1"/>
    <row r="27">
      <c r="B27" s="3" t="inlineStr">
        <is>
          <t>LEGENDA</t>
        </is>
      </c>
    </row>
    <row r="28">
      <c r="B28" s="29" t="n"/>
      <c r="C28" s="60" t="inlineStr">
        <is>
          <t>Palestras de Sensibilização</t>
        </is>
      </c>
      <c r="D28" s="31" t="n"/>
      <c r="E28" s="60" t="inlineStr">
        <is>
          <t>Desenvolvimento Humano</t>
        </is>
      </c>
      <c r="F28" s="33" t="n"/>
      <c r="G28" s="60" t="inlineStr">
        <is>
          <t>Oficina de Gestão (B1, não confirmada)</t>
        </is>
      </c>
      <c r="H28" s="35" t="n"/>
      <c r="I28" s="60" t="inlineStr">
        <is>
          <t>Cursos Técnicos (proposta p/ simulação)</t>
        </is>
      </c>
      <c r="J28" s="37" t="n"/>
      <c r="K28" s="60" t="inlineStr">
        <is>
          <t>Curso EAD</t>
        </is>
      </c>
      <c r="L28" s="39" t="n"/>
      <c r="M28" s="60" t="inlineStr">
        <is>
          <t>Consultoria Individual (estimado)</t>
        </is>
      </c>
      <c r="N28" s="58" t="n"/>
      <c r="O28" s="60" t="inlineStr">
        <is>
          <t>Recesso/feriado</t>
        </is>
      </c>
    </row>
    <row r="30" ht="24" customHeight="1">
      <c r="B30" s="57" t="inlineStr">
        <is>
          <t>Datas construídas a partir de premissas explicitadas nas abas 01, 02 e 03 — sujeitas a confirmação formal do Sebrae/Instituto. Nenhuma data de Curso Técnico ou Oficina de Gestão nesta versão é compromisso oficial.</t>
        </is>
      </c>
    </row>
  </sheetData>
  <mergeCells count="13">
    <mergeCell ref="B3:J3"/>
    <mergeCell ref="B5:J5"/>
    <mergeCell ref="F7"/>
    <mergeCell ref="B10:J10"/>
    <mergeCell ref="C7"/>
    <mergeCell ref="B7"/>
    <mergeCell ref="D7"/>
    <mergeCell ref="E7"/>
    <mergeCell ref="B27:J27"/>
    <mergeCell ref="B22:J25"/>
    <mergeCell ref="B12:J12"/>
    <mergeCell ref="B30:J30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395"/>
    <outlinePr summaryBelow="1" summaryRight="1"/>
    <pageSetUpPr/>
  </sheetPr>
  <dimension ref="B1:O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16" customWidth="1" min="3" max="3"/>
    <col width="8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0" customWidth="1" min="11" max="11"/>
    <col width="34" customWidth="1" min="12" max="12"/>
    <col width="42" customWidth="1" min="13" max="13"/>
    <col width="3" customWidth="1" min="14" max="14"/>
  </cols>
  <sheetData>
    <row r="1">
      <c r="O1" s="61">
        <f>'01_PREMISSAS'!C6</f>
        <v/>
      </c>
    </row>
    <row r="2" ht="28" customHeight="1">
      <c r="B2" s="1" t="inlineStr">
        <is>
          <t>COMPARATIVO DOS 4 CENÁRIOS DE DESENVOLVIMENTO HUMANO (DH)</t>
        </is>
      </c>
    </row>
    <row r="3">
      <c r="B3" s="2" t="inlineStr">
        <is>
          <t>Salas x Frequência semanal — indicadores recalculados por fórmula a partir das abas 06 a 09. O destaque de "cenário recomendado" segue a célula editável em 01_PREMISSAS.</t>
        </is>
      </c>
    </row>
    <row r="5" ht="30" customHeight="1">
      <c r="B5" s="27" t="inlineStr"/>
      <c r="C5" s="27" t="inlineStr">
        <is>
          <t>Cenário</t>
        </is>
      </c>
      <c r="D5" s="27" t="inlineStr">
        <is>
          <t>Salas</t>
        </is>
      </c>
      <c r="E5" s="27" t="inlineStr">
        <is>
          <t>Frequência
DH</t>
        </is>
      </c>
      <c r="F5" s="27" t="inlineStr">
        <is>
          <t>Turmas ativas
na semana (pico)</t>
        </is>
      </c>
      <c r="G5" s="27" t="inlineStr">
        <is>
          <t>Máx. turmas
mesma noite</t>
        </is>
      </c>
      <c r="H5" s="27" t="inlineStr">
        <is>
          <t>Início do
DH</t>
        </is>
      </c>
      <c r="I5" s="27" t="inlineStr">
        <is>
          <t>4ª turma
concluída</t>
        </is>
      </c>
      <c r="J5" s="27" t="inlineStr">
        <is>
          <t>15ª turma
concluída</t>
        </is>
      </c>
      <c r="K5" s="27" t="inlineStr">
        <is>
          <t>Duração
(dias)</t>
        </is>
      </c>
      <c r="L5" s="27" t="inlineStr">
        <is>
          <t>Riscos principais</t>
        </is>
      </c>
      <c r="M5" s="27" t="inlineStr">
        <is>
          <t>Vantagens / Desvantagens</t>
        </is>
      </c>
      <c r="N5" s="27" t="inlineStr">
        <is>
          <t>Viabilidade (condicionada)</t>
        </is>
      </c>
    </row>
    <row r="6" ht="85" customHeight="1">
      <c r="B6" s="25" t="inlineStr">
        <is>
          <t>A</t>
        </is>
      </c>
      <c r="C6" s="18" t="inlineStr">
        <is>
          <t>Cenário A</t>
        </is>
      </c>
      <c r="D6" s="25" t="n">
        <v>3</v>
      </c>
      <c r="E6" s="25" t="inlineStr">
        <is>
          <t>2x/semana</t>
        </is>
      </c>
      <c r="F6" s="25" t="n">
        <v>6</v>
      </c>
      <c r="G6" s="25" t="n">
        <v>3</v>
      </c>
      <c r="H6" s="62">
        <f>'06_CENARIO_A'!C23</f>
        <v/>
      </c>
      <c r="I6" s="62">
        <f>'06_CENARIO_A'!C24</f>
        <v/>
      </c>
      <c r="J6" s="62">
        <f>'06_CENARIO_A'!C25</f>
        <v/>
      </c>
      <c r="K6" s="63">
        <f>'06_CENARIO_A'!C26</f>
        <v/>
      </c>
      <c r="L6" s="9" t="inlineStr">
        <is>
          <t>Sobreposição de turmas exige interleaving de dias (Seg/Qua com Ter/Qui) na mesma sala; termina em dezembro, próximo ao recesso.</t>
        </is>
      </c>
      <c r="M6" s="9" t="inlineStr">
        <is>
          <t>Vantagem: usa a capacidade máxima das 3 salas. Desvantagem: ritmo mais lento (2x/semana) atrasa toda a cadeia OG→CT→EAD→CI.</t>
        </is>
      </c>
      <c r="N6" s="64" t="inlineStr">
        <is>
          <t>Viável — condicionado à validação de salas e facilitadores.</t>
        </is>
      </c>
    </row>
    <row r="7" ht="85" customHeight="1">
      <c r="B7" s="25" t="inlineStr">
        <is>
          <t>B</t>
        </is>
      </c>
      <c r="C7" s="18" t="inlineStr">
        <is>
          <t>Cenário B</t>
        </is>
      </c>
      <c r="D7" s="25" t="n">
        <v>3</v>
      </c>
      <c r="E7" s="25" t="inlineStr">
        <is>
          <t>5x/semana</t>
        </is>
      </c>
      <c r="F7" s="25" t="n">
        <v>6</v>
      </c>
      <c r="G7" s="25" t="n">
        <v>3</v>
      </c>
      <c r="H7" s="62">
        <f>'07_CENARIO_B'!C23</f>
        <v/>
      </c>
      <c r="I7" s="62">
        <f>'07_CENARIO_B'!C24</f>
        <v/>
      </c>
      <c r="J7" s="62">
        <f>'07_CENARIO_B'!C25</f>
        <v/>
      </c>
      <c r="K7" s="63">
        <f>'07_CENARIO_B'!C26</f>
        <v/>
      </c>
      <c r="L7" s="9" t="inlineStr">
        <is>
          <t>Ritmo intenso (5x/semana) exige disponibilidade constante de facilitadores e das 3 salas em sequência apertada entre lotes; praticamente sem folga para atraso (ver simulação de 7 dias na aba 07). Espaço para a Oficina de Gestão ainda não definido entre as variantes B1/B2.</t>
        </is>
      </c>
      <c r="M7" s="9" t="inlineStr">
        <is>
          <t>Vantagem: conclui a fase DH mais cedo (04/11), abrindo mais espaço para OG, CT, EAD e CI ainda em 2026. Desvantagem: menor margem de faltas/reposição por turma; parte dos Cursos Técnicos e da Consultoria Individual permanece programada para 2027 mesmo neste cenário.</t>
        </is>
      </c>
      <c r="N7" s="64" t="inlineStr">
        <is>
          <t>Menor duração — recomendado para negociação, condicionado à validação de salas, facilitadores, adesão dos participantes e espaços para OG (ver B1 x B2 na aba 07).</t>
        </is>
      </c>
    </row>
    <row r="8" ht="85" customHeight="1">
      <c r="B8" s="25" t="inlineStr">
        <is>
          <t>C</t>
        </is>
      </c>
      <c r="C8" s="18" t="inlineStr">
        <is>
          <t>Cenário C</t>
        </is>
      </c>
      <c r="D8" s="25" t="n">
        <v>2</v>
      </c>
      <c r="E8" s="25" t="inlineStr">
        <is>
          <t>2x/semana</t>
        </is>
      </c>
      <c r="F8" s="25" t="n">
        <v>5</v>
      </c>
      <c r="G8" s="25" t="n">
        <v>2</v>
      </c>
      <c r="H8" s="62">
        <f>'08_CENARIO_C'!C23</f>
        <v/>
      </c>
      <c r="I8" s="62">
        <f>'08_CENARIO_C'!C24</f>
        <v/>
      </c>
      <c r="J8" s="62">
        <f>'08_CENARIO_C'!C25</f>
        <v/>
      </c>
      <c r="K8" s="63">
        <f>'08_CENARIO_C'!C26</f>
        <v/>
      </c>
      <c r="L8" s="9" t="inlineStr">
        <is>
          <t>Fase DH ultrapassa o recesso institucional e só termina em fevereiro/2027 — compromete seriamente o início dos cursos técnicos e a meta anual.</t>
        </is>
      </c>
      <c r="M8" s="9" t="inlineStr">
        <is>
          <t>Vantagem: nenhuma relevante frente aos demais cenários. Desvantagem: menor capacidade (2 salas) e maior duração total (169 dias).</t>
        </is>
      </c>
      <c r="N8" s="65" t="inlineStr">
        <is>
          <t>Não recomendado — atravessa o recesso e estende a fase DH até fevereiro/2027.</t>
        </is>
      </c>
    </row>
    <row r="9" ht="85" customHeight="1">
      <c r="B9" s="25" t="inlineStr">
        <is>
          <t>D</t>
        </is>
      </c>
      <c r="C9" s="18" t="inlineStr">
        <is>
          <t>Cenário D</t>
        </is>
      </c>
      <c r="D9" s="25" t="n">
        <v>2</v>
      </c>
      <c r="E9" s="25" t="inlineStr">
        <is>
          <t>5x/semana</t>
        </is>
      </c>
      <c r="F9" s="25" t="n">
        <v>4</v>
      </c>
      <c r="G9" s="25" t="n">
        <v>2</v>
      </c>
      <c r="H9" s="62">
        <f>'09_CENARIO_D'!C23</f>
        <v/>
      </c>
      <c r="I9" s="62">
        <f>'09_CENARIO_D'!C24</f>
        <v/>
      </c>
      <c r="J9" s="62">
        <f>'09_CENARIO_D'!C25</f>
        <v/>
      </c>
      <c r="K9" s="63">
        <f>'09_CENARIO_D'!C26</f>
        <v/>
      </c>
      <c r="L9" s="9" t="inlineStr">
        <is>
          <t>Alta intensidade diária (5x/semana) combinada a apenas 2 salas deixa pouquíssima folga para reposição de encontros perdidos.</t>
        </is>
      </c>
      <c r="M9" s="9" t="inlineStr">
        <is>
          <t>Vantagem: mais rápido que os cenários de 2x/semana. Desvantagem: capacidade mínima (2 salas) entre os 4 cenários.</t>
        </is>
      </c>
      <c r="N9" s="64" t="inlineStr">
        <is>
          <t>Viável com ressalvas — condicionado à validação de salas, facilitadores e folga mínima entre lotes.</t>
        </is>
      </c>
    </row>
    <row r="11" ht="60" customHeight="1">
      <c r="B11" s="66" t="inlineStr">
        <is>
          <t>LEITURA: o cenário destacado em verde segue a célula "Cenário recomendado" em 01_PREMISSAS (troque A/B/C/D lá para recalcular o destaque aqui e em 04). Padrão atual: Cenário B — menor duração da fase DH (73 dias) entre os 4 cenários avaliados. Isso NÃO significa que o cenário está aprovado: a recomendação é condicionada à validação de salas, facilitadores, adesão dos participantes às Palestras/DH e definição do espaço para a Oficina de Gestão (B1 x B2, aba 07).</t>
        </is>
      </c>
    </row>
  </sheetData>
  <mergeCells count="3">
    <mergeCell ref="B3:M3"/>
    <mergeCell ref="B2:M2"/>
    <mergeCell ref="B11:N11"/>
  </mergeCells>
  <conditionalFormatting sqref="B6:N9">
    <cfRule type="expression" priority="1" dxfId="0" stopIfTrue="0">
      <formula>$B6=$O$1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DC3E6"/>
    <outlinePr summaryBelow="1" summaryRight="1"/>
    <pageSetUpPr/>
  </sheetPr>
  <dimension ref="B2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A — 3 SALAS | DH 2x/semana  </t>
        </is>
      </c>
    </row>
    <row r="3">
      <c r="B3" s="2" t="inlineStr">
        <is>
          <t>Viavel, mas com maior sobreposicao e termino em dezembro.  |  Indicação: Alternativa equilibrada</t>
        </is>
      </c>
    </row>
    <row r="5" ht="30" customHeight="1">
      <c r="B5" s="27" t="inlineStr">
        <is>
          <t>Turma DH</t>
        </is>
      </c>
      <c r="C5" s="27" t="inlineStr">
        <is>
          <t>Lote</t>
        </is>
      </c>
      <c r="D5" s="27" t="inlineStr">
        <is>
          <t>Sala</t>
        </is>
      </c>
      <c r="E5" s="27" t="inlineStr">
        <is>
          <t>Cadência</t>
        </is>
      </c>
      <c r="F5" s="27" t="inlineStr">
        <is>
          <t>Início</t>
        </is>
      </c>
      <c r="G5" s="27" t="inlineStr">
        <is>
          <t>Término</t>
        </is>
      </c>
      <c r="H5" s="27" t="inlineStr">
        <is>
          <t>Encontros</t>
        </is>
      </c>
      <c r="I5" s="27" t="inlineStr">
        <is>
          <t>Nº aprox. de
participantes</t>
        </is>
      </c>
      <c r="J5" s="27" t="inlineStr">
        <is>
          <t>Observação</t>
        </is>
      </c>
    </row>
    <row r="6" ht="22" customHeight="1">
      <c r="B6" s="18" t="inlineStr">
        <is>
          <t>DH 1</t>
        </is>
      </c>
      <c r="C6" s="25" t="n">
        <v>1</v>
      </c>
      <c r="D6" s="25" t="inlineStr">
        <is>
          <t>Sala 1</t>
        </is>
      </c>
      <c r="E6" s="25" t="inlineStr">
        <is>
          <t>Ter/Qui</t>
        </is>
      </c>
      <c r="F6" s="67" t="n">
        <v>46259</v>
      </c>
      <c r="G6" s="67" t="n">
        <v>46289</v>
      </c>
      <c r="H6" s="25" t="n">
        <v>10</v>
      </c>
      <c r="I6" s="68" t="inlineStr">
        <is>
          <t>—</t>
        </is>
      </c>
    </row>
    <row r="7" ht="22" customHeight="1">
      <c r="B7" s="18" t="inlineStr">
        <is>
          <t>DH 2</t>
        </is>
      </c>
      <c r="C7" s="25" t="n">
        <v>1</v>
      </c>
      <c r="D7" s="25" t="inlineStr">
        <is>
          <t>Sala 2</t>
        </is>
      </c>
      <c r="E7" s="25" t="inlineStr">
        <is>
          <t>Ter/Qui</t>
        </is>
      </c>
      <c r="F7" s="67" t="n">
        <v>46259</v>
      </c>
      <c r="G7" s="67" t="n">
        <v>46289</v>
      </c>
      <c r="H7" s="25" t="n">
        <v>10</v>
      </c>
      <c r="I7" s="68" t="inlineStr">
        <is>
          <t>—</t>
        </is>
      </c>
    </row>
    <row r="8" ht="22" customHeight="1">
      <c r="B8" s="18" t="inlineStr">
        <is>
          <t>DH 3</t>
        </is>
      </c>
      <c r="C8" s="25" t="n">
        <v>1</v>
      </c>
      <c r="D8" s="25" t="inlineStr">
        <is>
          <t>Sala 3</t>
        </is>
      </c>
      <c r="E8" s="25" t="inlineStr">
        <is>
          <t>Ter/Qui</t>
        </is>
      </c>
      <c r="F8" s="67" t="n">
        <v>46259</v>
      </c>
      <c r="G8" s="67" t="n">
        <v>46289</v>
      </c>
      <c r="H8" s="25" t="n">
        <v>10</v>
      </c>
      <c r="I8" s="68" t="inlineStr">
        <is>
          <t>—</t>
        </is>
      </c>
    </row>
    <row r="9" ht="22" customHeight="1">
      <c r="B9" s="69" t="inlineStr">
        <is>
          <t>DH 4</t>
        </is>
      </c>
      <c r="C9" s="70" t="n">
        <v>2</v>
      </c>
      <c r="D9" s="70" t="inlineStr">
        <is>
          <t>Sala 1</t>
        </is>
      </c>
      <c r="E9" s="70" t="inlineStr">
        <is>
          <t>Seg/Qua</t>
        </is>
      </c>
      <c r="F9" s="71" t="n">
        <v>46274</v>
      </c>
      <c r="G9" s="71" t="n">
        <v>46309</v>
      </c>
      <c r="H9" s="70" t="n">
        <v>10</v>
      </c>
      <c r="I9" s="72" t="inlineStr">
        <is>
          <t>Encontro cai em feriado: 12/10</t>
        </is>
      </c>
    </row>
    <row r="10" ht="22" customHeight="1">
      <c r="B10" s="69" t="inlineStr">
        <is>
          <t>DH 5</t>
        </is>
      </c>
      <c r="C10" s="70" t="n">
        <v>2</v>
      </c>
      <c r="D10" s="70" t="inlineStr">
        <is>
          <t>Sala 2</t>
        </is>
      </c>
      <c r="E10" s="70" t="inlineStr">
        <is>
          <t>Seg/Qua</t>
        </is>
      </c>
      <c r="F10" s="71" t="n">
        <v>46274</v>
      </c>
      <c r="G10" s="71" t="n">
        <v>46309</v>
      </c>
      <c r="H10" s="70" t="n">
        <v>10</v>
      </c>
      <c r="I10" s="72" t="inlineStr">
        <is>
          <t>Encontro cai em feriado: 12/10</t>
        </is>
      </c>
    </row>
    <row r="11" ht="22" customHeight="1">
      <c r="B11" s="69" t="inlineStr">
        <is>
          <t>DH 6</t>
        </is>
      </c>
      <c r="C11" s="70" t="n">
        <v>2</v>
      </c>
      <c r="D11" s="70" t="inlineStr">
        <is>
          <t>Sala 3</t>
        </is>
      </c>
      <c r="E11" s="70" t="inlineStr">
        <is>
          <t>Seg/Qua</t>
        </is>
      </c>
      <c r="F11" s="71" t="n">
        <v>46274</v>
      </c>
      <c r="G11" s="71" t="n">
        <v>46309</v>
      </c>
      <c r="H11" s="70" t="n">
        <v>10</v>
      </c>
      <c r="I11" s="72" t="inlineStr">
        <is>
          <t>Encontro cai em feriado: 12/10</t>
        </is>
      </c>
    </row>
    <row r="12" ht="22" customHeight="1">
      <c r="B12" s="18" t="inlineStr">
        <is>
          <t>DH 7</t>
        </is>
      </c>
      <c r="C12" s="25" t="n">
        <v>3</v>
      </c>
      <c r="D12" s="25" t="inlineStr">
        <is>
          <t>Sala 1</t>
        </is>
      </c>
      <c r="E12" s="25" t="inlineStr">
        <is>
          <t>Ter/Qui</t>
        </is>
      </c>
      <c r="F12" s="67" t="n">
        <v>46294</v>
      </c>
      <c r="G12" s="67" t="n">
        <v>46324</v>
      </c>
      <c r="H12" s="25" t="n">
        <v>10</v>
      </c>
      <c r="I12" s="68" t="inlineStr">
        <is>
          <t>—</t>
        </is>
      </c>
    </row>
    <row r="13" ht="22" customHeight="1">
      <c r="B13" s="18" t="inlineStr">
        <is>
          <t>DH 8</t>
        </is>
      </c>
      <c r="C13" s="25" t="n">
        <v>3</v>
      </c>
      <c r="D13" s="25" t="inlineStr">
        <is>
          <t>Sala 2</t>
        </is>
      </c>
      <c r="E13" s="25" t="inlineStr">
        <is>
          <t>Ter/Qui</t>
        </is>
      </c>
      <c r="F13" s="67" t="n">
        <v>46294</v>
      </c>
      <c r="G13" s="67" t="n">
        <v>46324</v>
      </c>
      <c r="H13" s="25" t="n">
        <v>10</v>
      </c>
      <c r="I13" s="68" t="inlineStr">
        <is>
          <t>—</t>
        </is>
      </c>
    </row>
    <row r="14" ht="22" customHeight="1">
      <c r="B14" s="18" t="inlineStr">
        <is>
          <t>DH 9</t>
        </is>
      </c>
      <c r="C14" s="25" t="n">
        <v>3</v>
      </c>
      <c r="D14" s="25" t="inlineStr">
        <is>
          <t>Sala 3</t>
        </is>
      </c>
      <c r="E14" s="25" t="inlineStr">
        <is>
          <t>Ter/Qui</t>
        </is>
      </c>
      <c r="F14" s="67" t="n">
        <v>46294</v>
      </c>
      <c r="G14" s="67" t="n">
        <v>46324</v>
      </c>
      <c r="H14" s="25" t="n">
        <v>10</v>
      </c>
      <c r="I14" s="68" t="inlineStr">
        <is>
          <t>—</t>
        </is>
      </c>
    </row>
    <row r="15" ht="22" customHeight="1">
      <c r="B15" s="69" t="inlineStr">
        <is>
          <t>DH 10</t>
        </is>
      </c>
      <c r="C15" s="70" t="n">
        <v>4</v>
      </c>
      <c r="D15" s="70" t="inlineStr">
        <is>
          <t>Sala 1</t>
        </is>
      </c>
      <c r="E15" s="70" t="inlineStr">
        <is>
          <t>Seg/Qua</t>
        </is>
      </c>
      <c r="F15" s="71" t="n">
        <v>46314</v>
      </c>
      <c r="G15" s="71" t="n">
        <v>46349</v>
      </c>
      <c r="H15" s="70" t="n">
        <v>10</v>
      </c>
      <c r="I15" s="72" t="inlineStr">
        <is>
          <t>Encontro cai em feriado: 02/11</t>
        </is>
      </c>
    </row>
    <row r="16" ht="22" customHeight="1">
      <c r="B16" s="69" t="inlineStr">
        <is>
          <t>DH 11</t>
        </is>
      </c>
      <c r="C16" s="70" t="n">
        <v>4</v>
      </c>
      <c r="D16" s="70" t="inlineStr">
        <is>
          <t>Sala 2</t>
        </is>
      </c>
      <c r="E16" s="70" t="inlineStr">
        <is>
          <t>Seg/Qua</t>
        </is>
      </c>
      <c r="F16" s="71" t="n">
        <v>46314</v>
      </c>
      <c r="G16" s="71" t="n">
        <v>46349</v>
      </c>
      <c r="H16" s="70" t="n">
        <v>10</v>
      </c>
      <c r="I16" s="72" t="inlineStr">
        <is>
          <t>Encontro cai em feriado: 02/11</t>
        </is>
      </c>
    </row>
    <row r="17" ht="22" customHeight="1">
      <c r="B17" s="69" t="inlineStr">
        <is>
          <t>DH 12</t>
        </is>
      </c>
      <c r="C17" s="70" t="n">
        <v>4</v>
      </c>
      <c r="D17" s="70" t="inlineStr">
        <is>
          <t>Sala 3</t>
        </is>
      </c>
      <c r="E17" s="70" t="inlineStr">
        <is>
          <t>Seg/Qua</t>
        </is>
      </c>
      <c r="F17" s="71" t="n">
        <v>46314</v>
      </c>
      <c r="G17" s="71" t="n">
        <v>46349</v>
      </c>
      <c r="H17" s="70" t="n">
        <v>10</v>
      </c>
      <c r="I17" s="72" t="inlineStr">
        <is>
          <t>Encontro cai em feriado: 02/11</t>
        </is>
      </c>
    </row>
    <row r="18" ht="22" customHeight="1">
      <c r="B18" s="18" t="inlineStr">
        <is>
          <t>DH 13</t>
        </is>
      </c>
      <c r="C18" s="25" t="n">
        <v>5</v>
      </c>
      <c r="D18" s="25" t="inlineStr">
        <is>
          <t>Sala 1</t>
        </is>
      </c>
      <c r="E18" s="25" t="inlineStr">
        <is>
          <t>Ter/Qui</t>
        </is>
      </c>
      <c r="F18" s="67" t="n">
        <v>46329</v>
      </c>
      <c r="G18" s="67" t="n">
        <v>46359</v>
      </c>
      <c r="H18" s="25" t="n">
        <v>10</v>
      </c>
      <c r="I18" s="68" t="inlineStr">
        <is>
          <t>—</t>
        </is>
      </c>
    </row>
    <row r="19" ht="22" customHeight="1">
      <c r="B19" s="18" t="inlineStr">
        <is>
          <t>DH 14</t>
        </is>
      </c>
      <c r="C19" s="25" t="n">
        <v>5</v>
      </c>
      <c r="D19" s="25" t="inlineStr">
        <is>
          <t>Sala 2</t>
        </is>
      </c>
      <c r="E19" s="25" t="inlineStr">
        <is>
          <t>Ter/Qui</t>
        </is>
      </c>
      <c r="F19" s="67" t="n">
        <v>46329</v>
      </c>
      <c r="G19" s="67" t="n">
        <v>46359</v>
      </c>
      <c r="H19" s="25" t="n">
        <v>10</v>
      </c>
      <c r="I19" s="68" t="inlineStr">
        <is>
          <t>—</t>
        </is>
      </c>
    </row>
    <row r="20" ht="22" customHeight="1">
      <c r="B20" s="18" t="inlineStr">
        <is>
          <t>DH 15</t>
        </is>
      </c>
      <c r="C20" s="25" t="n">
        <v>5</v>
      </c>
      <c r="D20" s="25" t="inlineStr">
        <is>
          <t>Sala 3</t>
        </is>
      </c>
      <c r="E20" s="25" t="inlineStr">
        <is>
          <t>Ter/Qui</t>
        </is>
      </c>
      <c r="F20" s="67" t="n">
        <v>46329</v>
      </c>
      <c r="G20" s="67" t="n">
        <v>46359</v>
      </c>
      <c r="H20" s="25" t="n">
        <v>10</v>
      </c>
      <c r="I20" s="68" t="inlineStr">
        <is>
          <t>—</t>
        </is>
      </c>
    </row>
    <row r="22" ht="30" customHeight="1">
      <c r="B22" s="6" t="inlineStr">
        <is>
          <t>Indicador</t>
        </is>
      </c>
      <c r="C22" s="6" t="inlineStr">
        <is>
          <t>Resultado</t>
        </is>
      </c>
      <c r="D22" s="6" t="inlineStr">
        <is>
          <t>Leitura</t>
        </is>
      </c>
      <c r="E22" s="73" t="n"/>
      <c r="F22" s="73" t="n"/>
      <c r="G22" s="73" t="n"/>
      <c r="H22" s="73" t="n"/>
      <c r="I22" s="74" t="n"/>
    </row>
    <row r="23" ht="26" customHeight="1">
      <c r="B23" s="18" t="inlineStr">
        <is>
          <t>Início da 1ª turma</t>
        </is>
      </c>
      <c r="C23" s="75">
        <f>MIN(F6:F20)</f>
        <v/>
      </c>
      <c r="D23" s="9" t="inlineStr">
        <is>
          <t>Marco de início da fase de Desenvolvimento Humano</t>
        </is>
      </c>
    </row>
    <row r="24" ht="26" customHeight="1">
      <c r="B24" s="18" t="inlineStr">
        <is>
          <t>Conclusão da 4ª turma</t>
        </is>
      </c>
      <c r="C24" s="75">
        <f>SMALL(G6:G20,4)</f>
        <v/>
      </c>
      <c r="D24" s="9" t="inlineStr">
        <is>
          <t>Marco para liberar o primeiro lote de Curso Técnico (premissa: após 4 DH) — data PROPOSTA, condicionada a quórum real</t>
        </is>
      </c>
    </row>
    <row r="25" ht="26" customHeight="1">
      <c r="B25" s="18" t="inlineStr">
        <is>
          <t>Conclusão da 15ª turma (todas)</t>
        </is>
      </c>
      <c r="C25" s="75">
        <f>MAX(G6:G20)</f>
        <v/>
      </c>
      <c r="D25" s="9" t="inlineStr">
        <is>
          <t>Fim estimado da fase de Desenvolvimento Humano</t>
        </is>
      </c>
    </row>
    <row r="26" ht="26" customHeight="1">
      <c r="B26" s="18" t="inlineStr">
        <is>
          <t>Duração da fase DH (dias corridos)</t>
        </is>
      </c>
      <c r="C26" s="76">
        <f>C25-C23+1</f>
        <v/>
      </c>
      <c r="D26" s="9" t="inlineStr">
        <is>
          <t>Da 1ª turma iniciada até a 15ª concluída</t>
        </is>
      </c>
    </row>
    <row r="27" ht="26" customHeight="1">
      <c r="B27" s="18" t="inlineStr">
        <is>
          <t>Turmas ativas na mesma semana (pico)</t>
        </is>
      </c>
      <c r="C27" s="76" t="n">
        <v>6</v>
      </c>
      <c r="D27" s="9" t="inlineStr">
        <is>
          <t>Nº de turmas com o período [início,término] tocando a mesma semana corrida — NÃO é o nº de turmas se encontrando na mesma noite.</t>
        </is>
      </c>
    </row>
    <row r="28" ht="26" customHeight="1">
      <c r="B28" s="18" t="inlineStr">
        <is>
          <t>Máximo de turmas na MESMA noite (mesma sala/horário)</t>
        </is>
      </c>
      <c r="C28" s="76" t="n">
        <v>3</v>
      </c>
      <c r="D28" s="9" t="inlineStr">
        <is>
          <t>Limite físico real: 3 sala(s) → no máximo 3 atividades simultâneas por noite. O uso alternado de dias (ex.: Seg/Qua com Ter/Qui) permite mais turmas ATIVAS na semana, mas não aumenta o nº de salas físicas disponíveis por noite.</t>
        </is>
      </c>
    </row>
    <row r="30">
      <c r="B30" s="17" t="inlineStr">
        <is>
          <t>MARCOS DE VALIDAÇÃO DE QUÓRUM POR LOTE — formação de turma é CONDICIONADA, não automática</t>
        </is>
      </c>
    </row>
    <row r="31" ht="30" customHeight="1">
      <c r="B31" s="27" t="inlineStr">
        <is>
          <t>Lote</t>
        </is>
      </c>
      <c r="C31" s="27" t="inlineStr">
        <is>
          <t>Data planejada
de validação</t>
        </is>
      </c>
      <c r="D31" s="27" t="inlineStr">
        <is>
          <t>Data-limite /
janela de contingência</t>
        </is>
      </c>
      <c r="E31" s="27" t="inlineStr">
        <is>
          <t>Impacto de atraso
de 7 dias no lote</t>
        </is>
      </c>
      <c r="F31" s="27" t="inlineStr">
        <is>
          <t>Risco de palestra
reagendada</t>
        </is>
      </c>
      <c r="G31" s="27" t="inlineStr">
        <is>
          <t>Status</t>
        </is>
      </c>
    </row>
    <row r="32" ht="46" customHeight="1">
      <c r="B32" s="8" t="inlineStr">
        <is>
          <t>Lote 1 (DH 1, DH 2, DH 3)</t>
        </is>
      </c>
      <c r="C32" s="67" t="n">
        <v>46252</v>
      </c>
      <c r="D32" s="9" t="inlineStr">
        <is>
          <t>-15 dia(s) de folga antes de empurrar o lote 2</t>
        </is>
      </c>
      <c r="E32" s="9" t="inlineStr">
        <is>
          <t>4ª turma: +22d; fim da fase DH: +67d (considerando a folga natural entre lotes)</t>
        </is>
      </c>
      <c r="F32" s="9" t="inlineStr">
        <is>
          <t>Palestras deste lote podem precisar de reforço de mobilização/reagendamento se o quórum não fechar.</t>
        </is>
      </c>
      <c r="G32" s="12" t="inlineStr">
        <is>
          <t>Condicionado à validação</t>
        </is>
      </c>
    </row>
    <row r="33" ht="46" customHeight="1">
      <c r="B33" s="8" t="inlineStr">
        <is>
          <t>Lote 2 (DH 4, DH 5, DH 6)</t>
        </is>
      </c>
      <c r="C33" s="67" t="n">
        <v>46267</v>
      </c>
      <c r="D33" s="9" t="inlineStr">
        <is>
          <t>-15 dia(s) de folga antes de empurrar o lote 3</t>
        </is>
      </c>
      <c r="E33" s="9" t="inlineStr">
        <is>
          <t>4ª turma: +7d; fim da fase DH: +52d (considerando a folga natural entre lotes)</t>
        </is>
      </c>
      <c r="F33" s="9" t="inlineStr">
        <is>
          <t>Palestras deste lote podem precisar de reforço de mobilização/reagendamento se o quórum não fechar.</t>
        </is>
      </c>
      <c r="G33" s="12" t="inlineStr">
        <is>
          <t>Condicionado à validação</t>
        </is>
      </c>
    </row>
    <row r="34" ht="46" customHeight="1">
      <c r="B34" s="8" t="inlineStr">
        <is>
          <t>Lote 3 (DH 7, DH 8, DH 9)</t>
        </is>
      </c>
      <c r="C34" s="67" t="n">
        <v>46287</v>
      </c>
      <c r="D34" s="9" t="inlineStr">
        <is>
          <t>-10 dia(s) de folga antes de empurrar o lote 4</t>
        </is>
      </c>
      <c r="E34" s="9" t="inlineStr">
        <is>
          <t>4ª turma: sem mudança; fim da fase DH: +37d (considerando a folga natural entre lotes)</t>
        </is>
      </c>
      <c r="F34" s="9" t="inlineStr">
        <is>
          <t>Palestras deste lote podem precisar de reforço de mobilização/reagendamento se o quórum não fechar.</t>
        </is>
      </c>
      <c r="G34" s="12" t="inlineStr">
        <is>
          <t>Condicionado à validação</t>
        </is>
      </c>
    </row>
    <row r="35" ht="46" customHeight="1">
      <c r="B35" s="8" t="inlineStr">
        <is>
          <t>Lote 4 (DH 10, DH 11, DH 12)</t>
        </is>
      </c>
      <c r="C35" s="67" t="n">
        <v>46307</v>
      </c>
      <c r="D35" s="9" t="inlineStr">
        <is>
          <t>-20 dia(s) de folga antes de empurrar o lote 5</t>
        </is>
      </c>
      <c r="E35" s="9" t="inlineStr">
        <is>
          <t>4ª turma: sem mudança; fim da fase DH: +27d (considerando a folga natural entre lotes)</t>
        </is>
      </c>
      <c r="F35" s="9" t="inlineStr">
        <is>
          <t>Palestras deste lote podem precisar de reforço de mobilização/reagendamento se o quórum não fechar.</t>
        </is>
      </c>
      <c r="G35" s="12" t="inlineStr">
        <is>
          <t>Condicionado à validação</t>
        </is>
      </c>
    </row>
    <row r="36" ht="46" customHeight="1">
      <c r="B36" s="8" t="inlineStr">
        <is>
          <t>Lote 5 (DH 13, DH 14, DH 15)</t>
        </is>
      </c>
      <c r="C36" s="67" t="n">
        <v>46322</v>
      </c>
      <c r="D36" s="9" t="inlineStr">
        <is>
          <t>Último lote — atraso aqui só afeta o fim da fase DH</t>
        </is>
      </c>
      <c r="E36" s="9" t="inlineStr">
        <is>
          <t>4ª turma: sem mudança; fim da fase DH: +7d (considerando a folga natural entre lotes)</t>
        </is>
      </c>
      <c r="F36" s="9" t="inlineStr">
        <is>
          <t>Palestras deste lote podem precisar de reforço de mobilização/reagendamento se o quórum não fechar.</t>
        </is>
      </c>
      <c r="G36" s="12" t="inlineStr">
        <is>
          <t>Condicionado à validação</t>
        </is>
      </c>
    </row>
    <row r="38">
      <c r="B38" s="17" t="inlineStr">
        <is>
          <t>SIMULAÇÃO DE IMPACTO — ATRASO DE 7 DIAS NO LOTE 1 (ex.: quórum insuficiente nas primeiras Palestras)</t>
        </is>
      </c>
    </row>
    <row r="39" ht="30" customHeight="1">
      <c r="B39" s="27" t="inlineStr">
        <is>
          <t>Cenário de folga</t>
        </is>
      </c>
      <c r="C39" s="27" t="inlineStr">
        <is>
          <t>4ª turma concluída
(original)</t>
        </is>
      </c>
      <c r="D39" s="27" t="inlineStr">
        <is>
          <t>4ª turma concluída
(com atraso)</t>
        </is>
      </c>
      <c r="E39" s="27" t="inlineStr">
        <is>
          <t>Fim da fase DH
(original)</t>
        </is>
      </c>
      <c r="F39" s="27" t="inlineStr">
        <is>
          <t>Fim da fase DH
(com atraso)</t>
        </is>
      </c>
      <c r="G39" s="27" t="inlineStr">
        <is>
          <t>Leitura</t>
        </is>
      </c>
    </row>
    <row r="40" ht="34" customHeight="1">
      <c r="B40" s="8" t="inlineStr">
        <is>
          <t>Otimista — folgas naturais entre lotes absorvem parte do atraso</t>
        </is>
      </c>
      <c r="C40" s="67" t="n">
        <v>46309</v>
      </c>
      <c r="D40" s="67" t="n">
        <v>46331</v>
      </c>
      <c r="E40" s="67" t="n">
        <v>46359</v>
      </c>
      <c r="F40" s="67" t="n">
        <v>46426</v>
      </c>
      <c r="G40" s="9" t="inlineStr">
        <is>
          <t>4ª turma desloca 22d; fim da fase DH desloca 67d</t>
        </is>
      </c>
    </row>
    <row r="41" ht="34" customHeight="1">
      <c r="B41" s="8" t="inlineStr">
        <is>
          <t>Conservador (pior caso) — nenhuma folga é aproveitada, atraso se propaga integralmente</t>
        </is>
      </c>
      <c r="C41" s="67" t="n">
        <v>46309</v>
      </c>
      <c r="D41" s="67" t="n">
        <v>46316</v>
      </c>
      <c r="E41" s="67" t="n">
        <v>46359</v>
      </c>
      <c r="F41" s="67" t="n">
        <v>46366</v>
      </c>
      <c r="G41" s="9" t="inlineStr">
        <is>
          <t>4ª turma desloca 7d; fim da fase DH desloca 7d</t>
        </is>
      </c>
    </row>
  </sheetData>
  <mergeCells count="11">
    <mergeCell ref="D24:I24"/>
    <mergeCell ref="D27:I27"/>
    <mergeCell ref="B30:I30"/>
    <mergeCell ref="D28:I28"/>
    <mergeCell ref="D22:I22"/>
    <mergeCell ref="D23:I23"/>
    <mergeCell ref="B2:I2"/>
    <mergeCell ref="B38:I38"/>
    <mergeCell ref="B3:I3"/>
    <mergeCell ref="D26:I26"/>
    <mergeCell ref="D25:I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B2:J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>CENÁRIO B — 3 SALAS | DH 5x/semana  ★ MENOR DURAÇÃO — RECOMENDADO PARA NEGOCIAÇÃO (condicionado)</t>
        </is>
      </c>
    </row>
    <row r="3">
      <c r="B3" s="2" t="inlineStr">
        <is>
          <t>Maior velocidade; acompanha melhor a formacao das turmas.  |  Indicação: Recomendado para negociacao</t>
        </is>
      </c>
    </row>
    <row r="5" ht="30" customHeight="1">
      <c r="B5" s="27" t="inlineStr">
        <is>
          <t>Turma DH</t>
        </is>
      </c>
      <c r="C5" s="27" t="inlineStr">
        <is>
          <t>Lote</t>
        </is>
      </c>
      <c r="D5" s="27" t="inlineStr">
        <is>
          <t>Sala</t>
        </is>
      </c>
      <c r="E5" s="27" t="inlineStr">
        <is>
          <t>Cadência</t>
        </is>
      </c>
      <c r="F5" s="27" t="inlineStr">
        <is>
          <t>Início</t>
        </is>
      </c>
      <c r="G5" s="27" t="inlineStr">
        <is>
          <t>Término</t>
        </is>
      </c>
      <c r="H5" s="27" t="inlineStr">
        <is>
          <t>Encontros</t>
        </is>
      </c>
      <c r="I5" s="27" t="inlineStr">
        <is>
          <t>Nº aprox. de
participantes</t>
        </is>
      </c>
      <c r="J5" s="27" t="inlineStr">
        <is>
          <t>Observação</t>
        </is>
      </c>
    </row>
    <row r="6" ht="22" customHeight="1">
      <c r="B6" s="18" t="inlineStr">
        <is>
          <t>DH 1</t>
        </is>
      </c>
      <c r="C6" s="25" t="n">
        <v>1</v>
      </c>
      <c r="D6" s="25" t="inlineStr">
        <is>
          <t>Sala 1</t>
        </is>
      </c>
      <c r="E6" s="25" t="inlineStr">
        <is>
          <t>Seg-Sex</t>
        </is>
      </c>
      <c r="F6" s="67" t="n">
        <v>46258</v>
      </c>
      <c r="G6" s="67" t="n">
        <v>46269</v>
      </c>
      <c r="H6" s="25" t="n">
        <v>10</v>
      </c>
      <c r="I6" s="68" t="inlineStr">
        <is>
          <t>—</t>
        </is>
      </c>
    </row>
    <row r="7" ht="22" customHeight="1">
      <c r="B7" s="18" t="inlineStr">
        <is>
          <t>DH 2</t>
        </is>
      </c>
      <c r="C7" s="25" t="n">
        <v>1</v>
      </c>
      <c r="D7" s="25" t="inlineStr">
        <is>
          <t>Sala 2</t>
        </is>
      </c>
      <c r="E7" s="25" t="inlineStr">
        <is>
          <t>Seg-Sex</t>
        </is>
      </c>
      <c r="F7" s="67" t="n">
        <v>46258</v>
      </c>
      <c r="G7" s="67" t="n">
        <v>46269</v>
      </c>
      <c r="H7" s="25" t="n">
        <v>10</v>
      </c>
      <c r="I7" s="68" t="inlineStr">
        <is>
          <t>—</t>
        </is>
      </c>
    </row>
    <row r="8" ht="22" customHeight="1">
      <c r="B8" s="18" t="inlineStr">
        <is>
          <t>DH 3</t>
        </is>
      </c>
      <c r="C8" s="25" t="n">
        <v>1</v>
      </c>
      <c r="D8" s="25" t="inlineStr">
        <is>
          <t>Sala 3</t>
        </is>
      </c>
      <c r="E8" s="25" t="inlineStr">
        <is>
          <t>Seg-Sex</t>
        </is>
      </c>
      <c r="F8" s="67" t="n">
        <v>46258</v>
      </c>
      <c r="G8" s="67" t="n">
        <v>46269</v>
      </c>
      <c r="H8" s="25" t="n">
        <v>10</v>
      </c>
      <c r="I8" s="68" t="inlineStr">
        <is>
          <t>—</t>
        </is>
      </c>
    </row>
    <row r="9" ht="22" customHeight="1">
      <c r="B9" s="18" t="inlineStr">
        <is>
          <t>DH 4</t>
        </is>
      </c>
      <c r="C9" s="25" t="n">
        <v>2</v>
      </c>
      <c r="D9" s="25" t="inlineStr">
        <is>
          <t>Sala 1</t>
        </is>
      </c>
      <c r="E9" s="25" t="inlineStr">
        <is>
          <t>Seg-Sex</t>
        </is>
      </c>
      <c r="F9" s="67" t="n">
        <v>46273</v>
      </c>
      <c r="G9" s="67" t="n">
        <v>46286</v>
      </c>
      <c r="H9" s="25" t="n">
        <v>10</v>
      </c>
      <c r="I9" s="68" t="inlineStr">
        <is>
          <t>—</t>
        </is>
      </c>
    </row>
    <row r="10" ht="22" customHeight="1">
      <c r="B10" s="18" t="inlineStr">
        <is>
          <t>DH 5</t>
        </is>
      </c>
      <c r="C10" s="25" t="n">
        <v>2</v>
      </c>
      <c r="D10" s="25" t="inlineStr">
        <is>
          <t>Sala 2</t>
        </is>
      </c>
      <c r="E10" s="25" t="inlineStr">
        <is>
          <t>Seg-Sex</t>
        </is>
      </c>
      <c r="F10" s="67" t="n">
        <v>46273</v>
      </c>
      <c r="G10" s="67" t="n">
        <v>46286</v>
      </c>
      <c r="H10" s="25" t="n">
        <v>10</v>
      </c>
      <c r="I10" s="68" t="inlineStr">
        <is>
          <t>—</t>
        </is>
      </c>
    </row>
    <row r="11" ht="22" customHeight="1">
      <c r="B11" s="18" t="inlineStr">
        <is>
          <t>DH 6</t>
        </is>
      </c>
      <c r="C11" s="25" t="n">
        <v>2</v>
      </c>
      <c r="D11" s="25" t="inlineStr">
        <is>
          <t>Sala 3</t>
        </is>
      </c>
      <c r="E11" s="25" t="inlineStr">
        <is>
          <t>Seg-Sex</t>
        </is>
      </c>
      <c r="F11" s="67" t="n">
        <v>46273</v>
      </c>
      <c r="G11" s="67" t="n">
        <v>46286</v>
      </c>
      <c r="H11" s="25" t="n">
        <v>10</v>
      </c>
      <c r="I11" s="68" t="inlineStr">
        <is>
          <t>—</t>
        </is>
      </c>
    </row>
    <row r="12" ht="22" customHeight="1">
      <c r="B12" s="18" t="inlineStr">
        <is>
          <t>DH 7</t>
        </is>
      </c>
      <c r="C12" s="25" t="n">
        <v>3</v>
      </c>
      <c r="D12" s="25" t="inlineStr">
        <is>
          <t>Sala 1</t>
        </is>
      </c>
      <c r="E12" s="25" t="inlineStr">
        <is>
          <t>Seg-Sex</t>
        </is>
      </c>
      <c r="F12" s="67" t="n">
        <v>46287</v>
      </c>
      <c r="G12" s="67" t="n">
        <v>46300</v>
      </c>
      <c r="H12" s="25" t="n">
        <v>10</v>
      </c>
      <c r="I12" s="68" t="inlineStr">
        <is>
          <t>—</t>
        </is>
      </c>
    </row>
    <row r="13" ht="22" customHeight="1">
      <c r="B13" s="18" t="inlineStr">
        <is>
          <t>DH 8</t>
        </is>
      </c>
      <c r="C13" s="25" t="n">
        <v>3</v>
      </c>
      <c r="D13" s="25" t="inlineStr">
        <is>
          <t>Sala 2</t>
        </is>
      </c>
      <c r="E13" s="25" t="inlineStr">
        <is>
          <t>Seg-Sex</t>
        </is>
      </c>
      <c r="F13" s="67" t="n">
        <v>46287</v>
      </c>
      <c r="G13" s="67" t="n">
        <v>46300</v>
      </c>
      <c r="H13" s="25" t="n">
        <v>10</v>
      </c>
      <c r="I13" s="68" t="inlineStr">
        <is>
          <t>—</t>
        </is>
      </c>
    </row>
    <row r="14" ht="22" customHeight="1">
      <c r="B14" s="18" t="inlineStr">
        <is>
          <t>DH 9</t>
        </is>
      </c>
      <c r="C14" s="25" t="n">
        <v>3</v>
      </c>
      <c r="D14" s="25" t="inlineStr">
        <is>
          <t>Sala 3</t>
        </is>
      </c>
      <c r="E14" s="25" t="inlineStr">
        <is>
          <t>Seg-Sex</t>
        </is>
      </c>
      <c r="F14" s="67" t="n">
        <v>46287</v>
      </c>
      <c r="G14" s="67" t="n">
        <v>46300</v>
      </c>
      <c r="H14" s="25" t="n">
        <v>10</v>
      </c>
      <c r="I14" s="68" t="inlineStr">
        <is>
          <t>—</t>
        </is>
      </c>
    </row>
    <row r="15" ht="22" customHeight="1">
      <c r="B15" s="69" t="inlineStr">
        <is>
          <t>DH 10</t>
        </is>
      </c>
      <c r="C15" s="70" t="n">
        <v>4</v>
      </c>
      <c r="D15" s="70" t="inlineStr">
        <is>
          <t>Sala 1</t>
        </is>
      </c>
      <c r="E15" s="70" t="inlineStr">
        <is>
          <t>Seg-Sex</t>
        </is>
      </c>
      <c r="F15" s="71" t="n">
        <v>46301</v>
      </c>
      <c r="G15" s="71" t="n">
        <v>46315</v>
      </c>
      <c r="H15" s="70" t="n">
        <v>10</v>
      </c>
      <c r="I15" s="72" t="inlineStr">
        <is>
          <t>Encontro cai em feriado: 12/10</t>
        </is>
      </c>
    </row>
    <row r="16" ht="22" customHeight="1">
      <c r="B16" s="69" t="inlineStr">
        <is>
          <t>DH 11</t>
        </is>
      </c>
      <c r="C16" s="70" t="n">
        <v>4</v>
      </c>
      <c r="D16" s="70" t="inlineStr">
        <is>
          <t>Sala 2</t>
        </is>
      </c>
      <c r="E16" s="70" t="inlineStr">
        <is>
          <t>Seg-Sex</t>
        </is>
      </c>
      <c r="F16" s="71" t="n">
        <v>46301</v>
      </c>
      <c r="G16" s="71" t="n">
        <v>46315</v>
      </c>
      <c r="H16" s="70" t="n">
        <v>10</v>
      </c>
      <c r="I16" s="72" t="inlineStr">
        <is>
          <t>Encontro cai em feriado: 12/10</t>
        </is>
      </c>
    </row>
    <row r="17" ht="22" customHeight="1">
      <c r="B17" s="69" t="inlineStr">
        <is>
          <t>DH 12</t>
        </is>
      </c>
      <c r="C17" s="70" t="n">
        <v>4</v>
      </c>
      <c r="D17" s="70" t="inlineStr">
        <is>
          <t>Sala 3</t>
        </is>
      </c>
      <c r="E17" s="70" t="inlineStr">
        <is>
          <t>Seg-Sex</t>
        </is>
      </c>
      <c r="F17" s="71" t="n">
        <v>46301</v>
      </c>
      <c r="G17" s="71" t="n">
        <v>46315</v>
      </c>
      <c r="H17" s="70" t="n">
        <v>10</v>
      </c>
      <c r="I17" s="72" t="inlineStr">
        <is>
          <t>Encontro cai em feriado: 12/10</t>
        </is>
      </c>
    </row>
    <row r="18" ht="22" customHeight="1">
      <c r="B18" s="69" t="inlineStr">
        <is>
          <t>DH 13</t>
        </is>
      </c>
      <c r="C18" s="70" t="n">
        <v>5</v>
      </c>
      <c r="D18" s="70" t="inlineStr">
        <is>
          <t>Sala 1</t>
        </is>
      </c>
      <c r="E18" s="70" t="inlineStr">
        <is>
          <t>Seg-Sex</t>
        </is>
      </c>
      <c r="F18" s="71" t="n">
        <v>46316</v>
      </c>
      <c r="G18" s="71" t="n">
        <v>46330</v>
      </c>
      <c r="H18" s="70" t="n">
        <v>10</v>
      </c>
      <c r="I18" s="72" t="inlineStr">
        <is>
          <t>Encontro cai em feriado: 02/11</t>
        </is>
      </c>
    </row>
    <row r="19" ht="22" customHeight="1">
      <c r="B19" s="69" t="inlineStr">
        <is>
          <t>DH 14</t>
        </is>
      </c>
      <c r="C19" s="70" t="n">
        <v>5</v>
      </c>
      <c r="D19" s="70" t="inlineStr">
        <is>
          <t>Sala 2</t>
        </is>
      </c>
      <c r="E19" s="70" t="inlineStr">
        <is>
          <t>Seg-Sex</t>
        </is>
      </c>
      <c r="F19" s="71" t="n">
        <v>46316</v>
      </c>
      <c r="G19" s="71" t="n">
        <v>46330</v>
      </c>
      <c r="H19" s="70" t="n">
        <v>10</v>
      </c>
      <c r="I19" s="72" t="inlineStr">
        <is>
          <t>Encontro cai em feriado: 02/11</t>
        </is>
      </c>
    </row>
    <row r="20" ht="22" customHeight="1">
      <c r="B20" s="69" t="inlineStr">
        <is>
          <t>DH 15</t>
        </is>
      </c>
      <c r="C20" s="70" t="n">
        <v>5</v>
      </c>
      <c r="D20" s="70" t="inlineStr">
        <is>
          <t>Sala 3</t>
        </is>
      </c>
      <c r="E20" s="70" t="inlineStr">
        <is>
          <t>Seg-Sex</t>
        </is>
      </c>
      <c r="F20" s="71" t="n">
        <v>46316</v>
      </c>
      <c r="G20" s="71" t="n">
        <v>46330</v>
      </c>
      <c r="H20" s="70" t="n">
        <v>10</v>
      </c>
      <c r="I20" s="72" t="inlineStr">
        <is>
          <t>Encontro cai em feriado: 02/11</t>
        </is>
      </c>
    </row>
    <row r="22" ht="30" customHeight="1">
      <c r="B22" s="6" t="inlineStr">
        <is>
          <t>Indicador</t>
        </is>
      </c>
      <c r="C22" s="6" t="inlineStr">
        <is>
          <t>Resultado</t>
        </is>
      </c>
      <c r="D22" s="6" t="inlineStr">
        <is>
          <t>Leitura</t>
        </is>
      </c>
      <c r="E22" s="73" t="n"/>
      <c r="F22" s="73" t="n"/>
      <c r="G22" s="73" t="n"/>
      <c r="H22" s="73" t="n"/>
      <c r="I22" s="74" t="n"/>
    </row>
    <row r="23" ht="26" customHeight="1">
      <c r="B23" s="18" t="inlineStr">
        <is>
          <t>Início da 1ª turma</t>
        </is>
      </c>
      <c r="C23" s="75">
        <f>MIN(F6:F20)</f>
        <v/>
      </c>
      <c r="D23" s="9" t="inlineStr">
        <is>
          <t>Marco de início da fase de Desenvolvimento Humano</t>
        </is>
      </c>
    </row>
    <row r="24" ht="26" customHeight="1">
      <c r="B24" s="18" t="inlineStr">
        <is>
          <t>Conclusão da 4ª turma</t>
        </is>
      </c>
      <c r="C24" s="75">
        <f>SMALL(G6:G20,4)</f>
        <v/>
      </c>
      <c r="D24" s="9" t="inlineStr">
        <is>
          <t>Marco para liberar o primeiro lote de Curso Técnico (premissa: após 4 DH) — data PROPOSTA, condicionada a quórum real</t>
        </is>
      </c>
    </row>
    <row r="25" ht="26" customHeight="1">
      <c r="B25" s="18" t="inlineStr">
        <is>
          <t>Conclusão da 15ª turma (todas)</t>
        </is>
      </c>
      <c r="C25" s="75">
        <f>MAX(G6:G20)</f>
        <v/>
      </c>
      <c r="D25" s="9" t="inlineStr">
        <is>
          <t>Fim estimado da fase de Desenvolvimento Humano</t>
        </is>
      </c>
    </row>
    <row r="26" ht="26" customHeight="1">
      <c r="B26" s="18" t="inlineStr">
        <is>
          <t>Duração da fase DH (dias corridos)</t>
        </is>
      </c>
      <c r="C26" s="76">
        <f>C25-C23+1</f>
        <v/>
      </c>
      <c r="D26" s="9" t="inlineStr">
        <is>
          <t>Da 1ª turma iniciada até a 15ª concluída</t>
        </is>
      </c>
    </row>
    <row r="27" ht="26" customHeight="1">
      <c r="B27" s="18" t="inlineStr">
        <is>
          <t>Turmas ativas na mesma semana (pico)</t>
        </is>
      </c>
      <c r="C27" s="76" t="n">
        <v>6</v>
      </c>
      <c r="D27" s="9" t="inlineStr">
        <is>
          <t>Nº de turmas com o período [início,término] tocando a mesma semana corrida — NÃO é o nº de turmas se encontrando na mesma noite.</t>
        </is>
      </c>
    </row>
    <row r="28" ht="26" customHeight="1">
      <c r="B28" s="18" t="inlineStr">
        <is>
          <t>Máximo de turmas na MESMA noite (mesma sala/horário)</t>
        </is>
      </c>
      <c r="C28" s="76" t="n">
        <v>3</v>
      </c>
      <c r="D28" s="9" t="inlineStr">
        <is>
          <t>Limite físico real: 3 sala(s) → no máximo 3 atividades simultâneas por noite. O uso alternado de dias (ex.: Seg/Qua com Ter/Qui) permite mais turmas ATIVAS na semana, mas não aumenta o nº de salas físicas disponíveis por noite.</t>
        </is>
      </c>
    </row>
    <row r="30">
      <c r="B30" s="17" t="inlineStr">
        <is>
          <t>MARCOS DE VALIDAÇÃO DE QUÓRUM POR LOTE — formação de turma é CONDICIONADA, não automática</t>
        </is>
      </c>
    </row>
    <row r="31" ht="30" customHeight="1">
      <c r="B31" s="27" t="inlineStr">
        <is>
          <t>Lote</t>
        </is>
      </c>
      <c r="C31" s="27" t="inlineStr">
        <is>
          <t>Data planejada
de validação</t>
        </is>
      </c>
      <c r="D31" s="27" t="inlineStr">
        <is>
          <t>Data-limite /
janela de contingência</t>
        </is>
      </c>
      <c r="E31" s="27" t="inlineStr">
        <is>
          <t>Impacto de atraso
de 7 dias no lote</t>
        </is>
      </c>
      <c r="F31" s="27" t="inlineStr">
        <is>
          <t>Risco de palestra
reagendada</t>
        </is>
      </c>
      <c r="G31" s="27" t="inlineStr">
        <is>
          <t>Status</t>
        </is>
      </c>
    </row>
    <row r="32" ht="46" customHeight="1">
      <c r="B32" s="8" t="inlineStr">
        <is>
          <t>Lote 1 (DH 1, DH 2, DH 3)</t>
        </is>
      </c>
      <c r="C32" s="67" t="n">
        <v>46251</v>
      </c>
      <c r="D32" s="9" t="inlineStr">
        <is>
          <t>4 dia(s) de folga antes de empurrar o lote 2</t>
        </is>
      </c>
      <c r="E32" s="9" t="inlineStr">
        <is>
          <t>4ª turma: +3d; fim da fase DH: sem mudança (considerando a folga natural entre lotes)</t>
        </is>
      </c>
      <c r="F32" s="9" t="inlineStr">
        <is>
          <t>Palestras deste lote podem precisar de reforço de mobilização/reagendamento se o quórum não fechar.</t>
        </is>
      </c>
      <c r="G32" s="12" t="inlineStr">
        <is>
          <t>Condicionado à validação</t>
        </is>
      </c>
    </row>
    <row r="33" ht="46" customHeight="1">
      <c r="B33" s="8" t="inlineStr">
        <is>
          <t>Lote 2 (DH 4, DH 5, DH 6)</t>
        </is>
      </c>
      <c r="C33" s="67" t="n">
        <v>46266</v>
      </c>
      <c r="D33" s="9" t="inlineStr">
        <is>
          <t>1 dia(s) de folga antes de empurrar o lote 3</t>
        </is>
      </c>
      <c r="E33" s="9" t="inlineStr">
        <is>
          <t>4ª turma: +7d; fim da fase DH: +4d (considerando a folga natural entre lotes)</t>
        </is>
      </c>
      <c r="F33" s="9" t="inlineStr">
        <is>
          <t>Palestras deste lote podem precisar de reforço de mobilização/reagendamento se o quórum não fechar.</t>
        </is>
      </c>
      <c r="G33" s="12" t="inlineStr">
        <is>
          <t>Condicionado à validação</t>
        </is>
      </c>
    </row>
    <row r="34" ht="46" customHeight="1">
      <c r="B34" s="8" t="inlineStr">
        <is>
          <t>Lote 3 (DH 7, DH 8, DH 9)</t>
        </is>
      </c>
      <c r="C34" s="67" t="n">
        <v>46280</v>
      </c>
      <c r="D34" s="9" t="inlineStr">
        <is>
          <t>1 dia(s) de folga antes de empurrar o lote 4</t>
        </is>
      </c>
      <c r="E34" s="9" t="inlineStr">
        <is>
          <t>4ª turma: sem mudança; fim da fase DH: +5d (considerando a folga natural entre lotes)</t>
        </is>
      </c>
      <c r="F34" s="9" t="inlineStr">
        <is>
          <t>Palestras deste lote podem precisar de reforço de mobilização/reagendamento se o quórum não fechar.</t>
        </is>
      </c>
      <c r="G34" s="12" t="inlineStr">
        <is>
          <t>Condicionado à validação</t>
        </is>
      </c>
    </row>
    <row r="35" ht="46" customHeight="1">
      <c r="B35" s="8" t="inlineStr">
        <is>
          <t>Lote 4 (DH 10, DH 11, DH 12)</t>
        </is>
      </c>
      <c r="C35" s="67" t="n">
        <v>46294</v>
      </c>
      <c r="D35" s="9" t="inlineStr">
        <is>
          <t>1 dia(s) de folga antes de empurrar o lote 5</t>
        </is>
      </c>
      <c r="E35" s="9" t="inlineStr">
        <is>
          <t>4ª turma: sem mudança; fim da fase DH: +6d (considerando a folga natural entre lotes)</t>
        </is>
      </c>
      <c r="F35" s="9" t="inlineStr">
        <is>
          <t>Palestras deste lote podem precisar de reforço de mobilização/reagendamento se o quórum não fechar.</t>
        </is>
      </c>
      <c r="G35" s="12" t="inlineStr">
        <is>
          <t>Condicionado à validação</t>
        </is>
      </c>
    </row>
    <row r="36" ht="46" customHeight="1">
      <c r="B36" s="8" t="inlineStr">
        <is>
          <t>Lote 5 (DH 13, DH 14, DH 15)</t>
        </is>
      </c>
      <c r="C36" s="67" t="n">
        <v>46309</v>
      </c>
      <c r="D36" s="9" t="inlineStr">
        <is>
          <t>Último lote — atraso aqui só afeta o fim da fase DH</t>
        </is>
      </c>
      <c r="E36" s="9" t="inlineStr">
        <is>
          <t>4ª turma: sem mudança; fim da fase DH: +7d (considerando a folga natural entre lotes)</t>
        </is>
      </c>
      <c r="F36" s="9" t="inlineStr">
        <is>
          <t>Palestras deste lote podem precisar de reforço de mobilização/reagendamento se o quórum não fechar.</t>
        </is>
      </c>
      <c r="G36" s="12" t="inlineStr">
        <is>
          <t>Condicionado à validação</t>
        </is>
      </c>
    </row>
    <row r="38">
      <c r="B38" s="17" t="inlineStr">
        <is>
          <t>SIMULAÇÃO DE IMPACTO — ATRASO DE 7 DIAS NO LOTE 1 (ex.: quórum insuficiente nas primeiras Palestras)</t>
        </is>
      </c>
    </row>
    <row r="39" ht="30" customHeight="1">
      <c r="B39" s="27" t="inlineStr">
        <is>
          <t>Cenário de folga</t>
        </is>
      </c>
      <c r="C39" s="27" t="inlineStr">
        <is>
          <t>4ª turma concluída
(original)</t>
        </is>
      </c>
      <c r="D39" s="27" t="inlineStr">
        <is>
          <t>4ª turma concluída
(com atraso)</t>
        </is>
      </c>
      <c r="E39" s="27" t="inlineStr">
        <is>
          <t>Fim da fase DH
(original)</t>
        </is>
      </c>
      <c r="F39" s="27" t="inlineStr">
        <is>
          <t>Fim da fase DH
(com atraso)</t>
        </is>
      </c>
      <c r="G39" s="27" t="inlineStr">
        <is>
          <t>Leitura</t>
        </is>
      </c>
    </row>
    <row r="40" ht="34" customHeight="1">
      <c r="B40" s="8" t="inlineStr">
        <is>
          <t>Otimista — folgas naturais entre lotes absorvem parte do atraso</t>
        </is>
      </c>
      <c r="C40" s="67" t="n">
        <v>46286</v>
      </c>
      <c r="D40" s="67" t="n">
        <v>46289</v>
      </c>
      <c r="E40" s="67" t="n">
        <v>46330</v>
      </c>
      <c r="F40" s="67" t="n">
        <v>46330</v>
      </c>
      <c r="G40" s="9" t="inlineStr">
        <is>
          <t>4ª turma desloca 3d; fim da fase DH desloca 0d</t>
        </is>
      </c>
    </row>
    <row r="41" ht="34" customHeight="1">
      <c r="B41" s="8" t="inlineStr">
        <is>
          <t>Conservador (pior caso) — nenhuma folga é aproveitada, atraso se propaga integralmente</t>
        </is>
      </c>
      <c r="C41" s="67" t="n">
        <v>46286</v>
      </c>
      <c r="D41" s="67" t="n">
        <v>46293</v>
      </c>
      <c r="E41" s="67" t="n">
        <v>46330</v>
      </c>
      <c r="F41" s="67" t="n">
        <v>46337</v>
      </c>
      <c r="G41" s="9" t="inlineStr">
        <is>
          <t>4ª turma desloca 7d; fim da fase DH desloca 7d</t>
        </is>
      </c>
    </row>
    <row r="43">
      <c r="B43" s="17" t="inlineStr">
        <is>
          <t>OFICINA DE GESTÃO — DUAS VARIANTES DE ESPAÇO (NENHUMA CONFIRMADA) — "CENÁRIO B" NÃO DEFINE ISSO SOZINHO</t>
        </is>
      </c>
    </row>
    <row r="44" ht="30" customHeight="1">
      <c r="B44" s="5" t="inlineStr">
        <is>
          <t>A V1 deste arquivo tratou 3 espaços adicionais de OG como certos. Nesta V2, isso é explicitado como uma escolha em aberto entre duas variantes — o nome do cenário muda conforme a escolha, porque a necessidade total de espaços físicos é diferente em cada uma.</t>
        </is>
      </c>
    </row>
    <row r="45" ht="30" customHeight="1">
      <c r="B45" s="27" t="inlineStr">
        <is>
          <t>Variante</t>
        </is>
      </c>
      <c r="C45" s="27" t="inlineStr">
        <is>
          <t>Espaço usado</t>
        </is>
      </c>
      <c r="D45" s="27" t="inlineStr">
        <is>
          <t>OG início</t>
        </is>
      </c>
      <c r="E45" s="27" t="inlineStr">
        <is>
          <t>OG término</t>
        </is>
      </c>
      <c r="F45" s="27" t="inlineStr">
        <is>
          <t>Conflitos de sala</t>
        </is>
      </c>
      <c r="G45" s="27" t="inlineStr">
        <is>
          <t>Necessidade total de espaços</t>
        </is>
      </c>
      <c r="H45" s="27" t="inlineStr">
        <is>
          <t>Risco operacional</t>
        </is>
      </c>
    </row>
    <row r="46" ht="70" customHeight="1">
      <c r="B46" s="8" t="inlineStr">
        <is>
          <t>Cenário B1 — 3 salas de DH + 3 espaços ADICIONAIS de OG</t>
        </is>
      </c>
      <c r="C46" s="9" t="inlineStr">
        <is>
          <t>3 espaços dedicados, distintos das 3 salas de DH (NÃO CONFIRMADO)</t>
        </is>
      </c>
      <c r="D46" s="67" t="n">
        <v>46276</v>
      </c>
      <c r="E46" s="67" t="n">
        <v>46338</v>
      </c>
      <c r="F46" s="9" t="inlineStr">
        <is>
          <t>Nenhum (espaços dedicados, verificado dia a dia)</t>
        </is>
      </c>
      <c r="G46" s="9" t="inlineStr">
        <is>
          <t>6 espaços no total (3 DH + 3 OG)</t>
        </is>
      </c>
      <c r="H46" s="9" t="inlineStr">
        <is>
          <t>Depende de viabilizar 3 espaços adicionais — sem eles, este plano não é executável.</t>
        </is>
      </c>
    </row>
    <row r="47" ht="70" customHeight="1">
      <c r="B47" s="8" t="inlineStr">
        <is>
          <t>Cenário B2 — 3 salas totais, compartilhadas entre DH e OG</t>
        </is>
      </c>
      <c r="C47" s="9" t="inlineStr">
        <is>
          <t>As mesmas 3 salas do DH (sem espaço adicional)</t>
        </is>
      </c>
      <c r="D47" s="67" t="n">
        <v>46331</v>
      </c>
      <c r="E47" s="67" t="n">
        <v>46344</v>
      </c>
      <c r="F47" s="9" t="inlineStr">
        <is>
          <t>Nenhum (OG só ocupa a sala após o fim total da fase DH, em ondas sequenciais)</t>
        </is>
      </c>
      <c r="G47" s="9" t="inlineStr">
        <is>
          <t>3 espaços no total (sem espaço adicional)</t>
        </is>
      </c>
      <c r="H47" s="9" t="inlineStr">
        <is>
          <t>OG só começa em 05/11/2026 (após o fim da fase DH) e só termina em 18/11/2026 — atraso de 55 dias no início da OG frente à variante B1, empurrando também Curso Técnico e Consultoria Individual para quem depende da OG.</t>
        </is>
      </c>
    </row>
    <row r="49" ht="40" customHeight="1">
      <c r="B49" s="77" t="inlineStr">
        <is>
          <t>DECISÃO NECESSÁRIA: a coordenação precisa optar formalmente entre B1 (mais rápido, mas depende de 3 espaços adicionais não confirmados) e B2 (não depende de espaço extra, mas atrasa a OG e tudo que depende dela). Nenhuma das duas está aprovada nesta versão.</t>
        </is>
      </c>
    </row>
  </sheetData>
  <mergeCells count="14">
    <mergeCell ref="D24:I24"/>
    <mergeCell ref="D27:I27"/>
    <mergeCell ref="B30:I30"/>
    <mergeCell ref="B44:I44"/>
    <mergeCell ref="D28:I28"/>
    <mergeCell ref="D22:I22"/>
    <mergeCell ref="D23:I23"/>
    <mergeCell ref="B2:I2"/>
    <mergeCell ref="B38:I38"/>
    <mergeCell ref="B3:I3"/>
    <mergeCell ref="D26:I26"/>
    <mergeCell ref="B49:I49"/>
    <mergeCell ref="D25:I25"/>
    <mergeCell ref="B43:I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DC3E6"/>
    <outlinePr summaryBelow="1" summaryRight="1"/>
    <pageSetUpPr/>
  </sheetPr>
  <dimension ref="B2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C — 2 SALAS | DH 2x/semana  </t>
        </is>
      </c>
    </row>
    <row r="3">
      <c r="B3" s="2" t="inlineStr">
        <is>
          <t>Baixa capacidade; atravessa o recesso e termina em fevereiro.  |  Indicação: Nao recomendado</t>
        </is>
      </c>
    </row>
    <row r="5" ht="30" customHeight="1">
      <c r="B5" s="27" t="inlineStr">
        <is>
          <t>Turma DH</t>
        </is>
      </c>
      <c r="C5" s="27" t="inlineStr">
        <is>
          <t>Lote</t>
        </is>
      </c>
      <c r="D5" s="27" t="inlineStr">
        <is>
          <t>Sala</t>
        </is>
      </c>
      <c r="E5" s="27" t="inlineStr">
        <is>
          <t>Cadência</t>
        </is>
      </c>
      <c r="F5" s="27" t="inlineStr">
        <is>
          <t>Início</t>
        </is>
      </c>
      <c r="G5" s="27" t="inlineStr">
        <is>
          <t>Término</t>
        </is>
      </c>
      <c r="H5" s="27" t="inlineStr">
        <is>
          <t>Encontros</t>
        </is>
      </c>
      <c r="I5" s="27" t="inlineStr">
        <is>
          <t>Nº aprox. de
participantes</t>
        </is>
      </c>
      <c r="J5" s="27" t="inlineStr">
        <is>
          <t>Observação</t>
        </is>
      </c>
    </row>
    <row r="6" ht="22" customHeight="1">
      <c r="B6" s="18" t="inlineStr">
        <is>
          <t>DH 1</t>
        </is>
      </c>
      <c r="C6" s="25" t="n">
        <v>1</v>
      </c>
      <c r="D6" s="25" t="inlineStr">
        <is>
          <t>Sala 1</t>
        </is>
      </c>
      <c r="E6" s="25" t="inlineStr">
        <is>
          <t>Ter/Qui</t>
        </is>
      </c>
      <c r="F6" s="67" t="n">
        <v>46259</v>
      </c>
      <c r="G6" s="67" t="n">
        <v>46289</v>
      </c>
      <c r="H6" s="25" t="n">
        <v>10</v>
      </c>
      <c r="I6" s="68" t="inlineStr">
        <is>
          <t>—</t>
        </is>
      </c>
    </row>
    <row r="7" ht="22" customHeight="1">
      <c r="B7" s="18" t="inlineStr">
        <is>
          <t>DH 2</t>
        </is>
      </c>
      <c r="C7" s="25" t="n">
        <v>1</v>
      </c>
      <c r="D7" s="25" t="inlineStr">
        <is>
          <t>Sala 2</t>
        </is>
      </c>
      <c r="E7" s="25" t="inlineStr">
        <is>
          <t>Ter/Qui</t>
        </is>
      </c>
      <c r="F7" s="67" t="n">
        <v>46259</v>
      </c>
      <c r="G7" s="67" t="n">
        <v>46289</v>
      </c>
      <c r="H7" s="25" t="n">
        <v>10</v>
      </c>
      <c r="I7" s="68" t="inlineStr">
        <is>
          <t>—</t>
        </is>
      </c>
    </row>
    <row r="8" ht="22" customHeight="1">
      <c r="B8" s="69" t="inlineStr">
        <is>
          <t>DH 3</t>
        </is>
      </c>
      <c r="C8" s="70" t="n">
        <v>1</v>
      </c>
      <c r="D8" s="70" t="inlineStr">
        <is>
          <t>Sala 1</t>
        </is>
      </c>
      <c r="E8" s="70" t="inlineStr">
        <is>
          <t>Seg/Qua</t>
        </is>
      </c>
      <c r="F8" s="71" t="n">
        <v>46258</v>
      </c>
      <c r="G8" s="71" t="n">
        <v>46293</v>
      </c>
      <c r="H8" s="70" t="n">
        <v>10</v>
      </c>
      <c r="I8" s="72" t="inlineStr">
        <is>
          <t>Encontro cai em feriado: 07/09</t>
        </is>
      </c>
    </row>
    <row r="9" ht="22" customHeight="1">
      <c r="B9" s="69" t="inlineStr">
        <is>
          <t>DH 4</t>
        </is>
      </c>
      <c r="C9" s="70" t="n">
        <v>2</v>
      </c>
      <c r="D9" s="70" t="inlineStr">
        <is>
          <t>Sala 2</t>
        </is>
      </c>
      <c r="E9" s="70" t="inlineStr">
        <is>
          <t>Seg/Qua</t>
        </is>
      </c>
      <c r="F9" s="71" t="n">
        <v>46274</v>
      </c>
      <c r="G9" s="71" t="n">
        <v>46309</v>
      </c>
      <c r="H9" s="70" t="n">
        <v>10</v>
      </c>
      <c r="I9" s="72" t="inlineStr">
        <is>
          <t>Encontro cai em feriado: 12/10</t>
        </is>
      </c>
    </row>
    <row r="10" ht="22" customHeight="1">
      <c r="B10" s="18" t="inlineStr">
        <is>
          <t>DH 5</t>
        </is>
      </c>
      <c r="C10" s="25" t="n">
        <v>2</v>
      </c>
      <c r="D10" s="25" t="inlineStr">
        <is>
          <t>Sala 1</t>
        </is>
      </c>
      <c r="E10" s="25" t="inlineStr">
        <is>
          <t>Ter/Qui</t>
        </is>
      </c>
      <c r="F10" s="67" t="n">
        <v>46294</v>
      </c>
      <c r="G10" s="67" t="n">
        <v>46324</v>
      </c>
      <c r="H10" s="25" t="n">
        <v>10</v>
      </c>
      <c r="I10" s="68" t="inlineStr">
        <is>
          <t>—</t>
        </is>
      </c>
    </row>
    <row r="11" ht="22" customHeight="1">
      <c r="B11" s="18" t="inlineStr">
        <is>
          <t>DH 6</t>
        </is>
      </c>
      <c r="C11" s="25" t="n">
        <v>2</v>
      </c>
      <c r="D11" s="25" t="inlineStr">
        <is>
          <t>Sala 2</t>
        </is>
      </c>
      <c r="E11" s="25" t="inlineStr">
        <is>
          <t>Ter/Qui</t>
        </is>
      </c>
      <c r="F11" s="67" t="n">
        <v>46294</v>
      </c>
      <c r="G11" s="67" t="n">
        <v>46324</v>
      </c>
      <c r="H11" s="25" t="n">
        <v>10</v>
      </c>
      <c r="I11" s="68" t="inlineStr">
        <is>
          <t>—</t>
        </is>
      </c>
    </row>
    <row r="12" ht="22" customHeight="1">
      <c r="B12" s="69" t="inlineStr">
        <is>
          <t>DH 7</t>
        </is>
      </c>
      <c r="C12" s="70" t="n">
        <v>3</v>
      </c>
      <c r="D12" s="70" t="inlineStr">
        <is>
          <t>Sala 1</t>
        </is>
      </c>
      <c r="E12" s="70" t="inlineStr">
        <is>
          <t>Seg/Qua</t>
        </is>
      </c>
      <c r="F12" s="71" t="n">
        <v>46295</v>
      </c>
      <c r="G12" s="71" t="n">
        <v>46335</v>
      </c>
      <c r="H12" s="70" t="n">
        <v>10</v>
      </c>
      <c r="I12" s="72" t="inlineStr">
        <is>
          <t>Encontro cai em feriado: 12/10, 02/11</t>
        </is>
      </c>
    </row>
    <row r="13" ht="22" customHeight="1">
      <c r="B13" s="69" t="inlineStr">
        <is>
          <t>DH 8</t>
        </is>
      </c>
      <c r="C13" s="70" t="n">
        <v>3</v>
      </c>
      <c r="D13" s="70" t="inlineStr">
        <is>
          <t>Sala 2</t>
        </is>
      </c>
      <c r="E13" s="70" t="inlineStr">
        <is>
          <t>Seg/Qua</t>
        </is>
      </c>
      <c r="F13" s="71" t="n">
        <v>46314</v>
      </c>
      <c r="G13" s="71" t="n">
        <v>46349</v>
      </c>
      <c r="H13" s="70" t="n">
        <v>10</v>
      </c>
      <c r="I13" s="72" t="inlineStr">
        <is>
          <t>Encontro cai em feriado: 02/11</t>
        </is>
      </c>
    </row>
    <row r="14" ht="22" customHeight="1">
      <c r="B14" s="18" t="inlineStr">
        <is>
          <t>DH 9</t>
        </is>
      </c>
      <c r="C14" s="25" t="n">
        <v>3</v>
      </c>
      <c r="D14" s="25" t="inlineStr">
        <is>
          <t>Sala 1</t>
        </is>
      </c>
      <c r="E14" s="25" t="inlineStr">
        <is>
          <t>Ter/Qui</t>
        </is>
      </c>
      <c r="F14" s="67" t="n">
        <v>46329</v>
      </c>
      <c r="G14" s="67" t="n">
        <v>46359</v>
      </c>
      <c r="H14" s="25" t="n">
        <v>10</v>
      </c>
      <c r="I14" s="68" t="inlineStr">
        <is>
          <t>—</t>
        </is>
      </c>
    </row>
    <row r="15" ht="22" customHeight="1">
      <c r="B15" s="18" t="inlineStr">
        <is>
          <t>DH 10</t>
        </is>
      </c>
      <c r="C15" s="25" t="n">
        <v>4</v>
      </c>
      <c r="D15" s="25" t="inlineStr">
        <is>
          <t>Sala 2</t>
        </is>
      </c>
      <c r="E15" s="25" t="inlineStr">
        <is>
          <t>Ter/Qui</t>
        </is>
      </c>
      <c r="F15" s="67" t="n">
        <v>46329</v>
      </c>
      <c r="G15" s="67" t="n">
        <v>46359</v>
      </c>
      <c r="H15" s="25" t="n">
        <v>10</v>
      </c>
      <c r="I15" s="68" t="inlineStr">
        <is>
          <t>—</t>
        </is>
      </c>
    </row>
    <row r="16" ht="22" customHeight="1">
      <c r="B16" s="18" t="inlineStr">
        <is>
          <t>DH 11</t>
        </is>
      </c>
      <c r="C16" s="25" t="n">
        <v>4</v>
      </c>
      <c r="D16" s="25" t="inlineStr">
        <is>
          <t>Sala 1</t>
        </is>
      </c>
      <c r="E16" s="25" t="inlineStr">
        <is>
          <t>Seg/Qua</t>
        </is>
      </c>
      <c r="F16" s="67" t="n">
        <v>46337</v>
      </c>
      <c r="G16" s="67" t="n">
        <v>46370</v>
      </c>
      <c r="H16" s="25" t="n">
        <v>10</v>
      </c>
      <c r="I16" s="68" t="inlineStr">
        <is>
          <t>—</t>
        </is>
      </c>
    </row>
    <row r="17" ht="22" customHeight="1">
      <c r="B17" s="69" t="inlineStr">
        <is>
          <t>DH 12</t>
        </is>
      </c>
      <c r="C17" s="70" t="n">
        <v>4</v>
      </c>
      <c r="D17" s="70" t="inlineStr">
        <is>
          <t>Sala 2</t>
        </is>
      </c>
      <c r="E17" s="70" t="inlineStr">
        <is>
          <t>Seg/Qua</t>
        </is>
      </c>
      <c r="F17" s="71" t="n">
        <v>46351</v>
      </c>
      <c r="G17" s="71" t="n">
        <v>46405</v>
      </c>
      <c r="H17" s="70" t="n">
        <v>10</v>
      </c>
      <c r="I17" s="72" t="inlineStr">
        <is>
          <t>Atravessa o recesso institucional (21/12-08/01) — pendente de confirmação</t>
        </is>
      </c>
    </row>
    <row r="18" ht="22" customHeight="1">
      <c r="B18" s="69" t="inlineStr">
        <is>
          <t>DH 13</t>
        </is>
      </c>
      <c r="C18" s="70" t="n">
        <v>5</v>
      </c>
      <c r="D18" s="70" t="inlineStr">
        <is>
          <t>Sala 1</t>
        </is>
      </c>
      <c r="E18" s="70" t="inlineStr">
        <is>
          <t>Ter/Qui</t>
        </is>
      </c>
      <c r="F18" s="71" t="n">
        <v>46364</v>
      </c>
      <c r="G18" s="71" t="n">
        <v>46415</v>
      </c>
      <c r="H18" s="70" t="n">
        <v>10</v>
      </c>
      <c r="I18" s="72" t="inlineStr">
        <is>
          <t>Atravessa o recesso institucional (21/12-08/01) — pendente de confirmação</t>
        </is>
      </c>
    </row>
    <row r="19" ht="22" customHeight="1">
      <c r="B19" s="69" t="inlineStr">
        <is>
          <t>DH 14</t>
        </is>
      </c>
      <c r="C19" s="70" t="n">
        <v>5</v>
      </c>
      <c r="D19" s="70" t="inlineStr">
        <is>
          <t>Sala 2</t>
        </is>
      </c>
      <c r="E19" s="70" t="inlineStr">
        <is>
          <t>Ter/Qui</t>
        </is>
      </c>
      <c r="F19" s="71" t="n">
        <v>46364</v>
      </c>
      <c r="G19" s="71" t="n">
        <v>46415</v>
      </c>
      <c r="H19" s="70" t="n">
        <v>10</v>
      </c>
      <c r="I19" s="72" t="inlineStr">
        <is>
          <t>Atravessa o recesso institucional (21/12-08/01) — pendente de confirmação</t>
        </is>
      </c>
    </row>
    <row r="20" ht="22" customHeight="1">
      <c r="B20" s="69" t="inlineStr">
        <is>
          <t>DH 15</t>
        </is>
      </c>
      <c r="C20" s="70" t="n">
        <v>5</v>
      </c>
      <c r="D20" s="70" t="inlineStr">
        <is>
          <t>Sala 1</t>
        </is>
      </c>
      <c r="E20" s="70" t="inlineStr">
        <is>
          <t>Seg/Qua</t>
        </is>
      </c>
      <c r="F20" s="71" t="n">
        <v>46372</v>
      </c>
      <c r="G20" s="71" t="n">
        <v>46426</v>
      </c>
      <c r="H20" s="70" t="n">
        <v>10</v>
      </c>
      <c r="I20" s="72" t="inlineStr">
        <is>
          <t>Atravessa o recesso institucional (21/12-08/01) — pendente de confirmação</t>
        </is>
      </c>
    </row>
    <row r="22" ht="30" customHeight="1">
      <c r="B22" s="6" t="inlineStr">
        <is>
          <t>Indicador</t>
        </is>
      </c>
      <c r="C22" s="6" t="inlineStr">
        <is>
          <t>Resultado</t>
        </is>
      </c>
      <c r="D22" s="6" t="inlineStr">
        <is>
          <t>Leitura</t>
        </is>
      </c>
      <c r="E22" s="73" t="n"/>
      <c r="F22" s="73" t="n"/>
      <c r="G22" s="73" t="n"/>
      <c r="H22" s="73" t="n"/>
      <c r="I22" s="74" t="n"/>
    </row>
    <row r="23" ht="26" customHeight="1">
      <c r="B23" s="18" t="inlineStr">
        <is>
          <t>Início da 1ª turma</t>
        </is>
      </c>
      <c r="C23" s="75">
        <f>MIN(F6:F20)</f>
        <v/>
      </c>
      <c r="D23" s="9" t="inlineStr">
        <is>
          <t>Marco de início da fase de Desenvolvimento Humano</t>
        </is>
      </c>
    </row>
    <row r="24" ht="26" customHeight="1">
      <c r="B24" s="18" t="inlineStr">
        <is>
          <t>Conclusão da 4ª turma</t>
        </is>
      </c>
      <c r="C24" s="75">
        <f>SMALL(G6:G20,4)</f>
        <v/>
      </c>
      <c r="D24" s="9" t="inlineStr">
        <is>
          <t>Marco para liberar o primeiro lote de Curso Técnico (premissa: após 4 DH) — data PROPOSTA, condicionada a quórum real</t>
        </is>
      </c>
    </row>
    <row r="25" ht="26" customHeight="1">
      <c r="B25" s="18" t="inlineStr">
        <is>
          <t>Conclusão da 15ª turma (todas)</t>
        </is>
      </c>
      <c r="C25" s="75">
        <f>MAX(G6:G20)</f>
        <v/>
      </c>
      <c r="D25" s="9" t="inlineStr">
        <is>
          <t>Fim estimado da fase de Desenvolvimento Humano</t>
        </is>
      </c>
    </row>
    <row r="26" ht="26" customHeight="1">
      <c r="B26" s="18" t="inlineStr">
        <is>
          <t>Duração da fase DH (dias corridos)</t>
        </is>
      </c>
      <c r="C26" s="76">
        <f>C25-C23+1</f>
        <v/>
      </c>
      <c r="D26" s="9" t="inlineStr">
        <is>
          <t>Da 1ª turma iniciada até a 15ª concluída</t>
        </is>
      </c>
    </row>
    <row r="27" ht="26" customHeight="1">
      <c r="B27" s="18" t="inlineStr">
        <is>
          <t>Turmas ativas na mesma semana (pico)</t>
        </is>
      </c>
      <c r="C27" s="76" t="n">
        <v>5</v>
      </c>
      <c r="D27" s="9" t="inlineStr">
        <is>
          <t>Nº de turmas com o período [início,término] tocando a mesma semana corrida — NÃO é o nº de turmas se encontrando na mesma noite.</t>
        </is>
      </c>
    </row>
    <row r="28" ht="26" customHeight="1">
      <c r="B28" s="18" t="inlineStr">
        <is>
          <t>Máximo de turmas na MESMA noite (mesma sala/horário)</t>
        </is>
      </c>
      <c r="C28" s="76" t="n">
        <v>2</v>
      </c>
      <c r="D28" s="9" t="inlineStr">
        <is>
          <t>Limite físico real: 2 sala(s) → no máximo 2 atividades simultâneas por noite. O uso alternado de dias (ex.: Seg/Qua com Ter/Qui) permite mais turmas ATIVAS na semana, mas não aumenta o nº de salas físicas disponíveis por noite.</t>
        </is>
      </c>
    </row>
    <row r="30">
      <c r="B30" s="17" t="inlineStr">
        <is>
          <t>MARCOS DE VALIDAÇÃO DE QUÓRUM POR LOTE — formação de turma é CONDICIONADA, não automática</t>
        </is>
      </c>
    </row>
    <row r="31" ht="30" customHeight="1">
      <c r="B31" s="27" t="inlineStr">
        <is>
          <t>Lote</t>
        </is>
      </c>
      <c r="C31" s="27" t="inlineStr">
        <is>
          <t>Data planejada
de validação</t>
        </is>
      </c>
      <c r="D31" s="27" t="inlineStr">
        <is>
          <t>Data-limite /
janela de contingência</t>
        </is>
      </c>
      <c r="E31" s="27" t="inlineStr">
        <is>
          <t>Impacto de atraso
de 7 dias no lote</t>
        </is>
      </c>
      <c r="F31" s="27" t="inlineStr">
        <is>
          <t>Risco de palestra
reagendada</t>
        </is>
      </c>
      <c r="G31" s="27" t="inlineStr">
        <is>
          <t>Status</t>
        </is>
      </c>
    </row>
    <row r="32" ht="46" customHeight="1">
      <c r="B32" s="8" t="inlineStr">
        <is>
          <t>Lote 1 (DH 1, DH 2, DH 3)</t>
        </is>
      </c>
      <c r="C32" s="67" t="n">
        <v>46251</v>
      </c>
      <c r="D32" s="9" t="inlineStr">
        <is>
          <t>-19 dia(s) de folga antes de empurrar o lote 2</t>
        </is>
      </c>
      <c r="E32" s="9" t="inlineStr">
        <is>
          <t>4ª turma: +26d; fim da fase DH: +126d (considerando a folga natural entre lotes)</t>
        </is>
      </c>
      <c r="F32" s="9" t="inlineStr">
        <is>
          <t>Palestras deste lote podem precisar de reforço de mobilização/reagendamento se o quórum não fechar.</t>
        </is>
      </c>
      <c r="G32" s="12" t="inlineStr">
        <is>
          <t>Condicionado à validação</t>
        </is>
      </c>
    </row>
    <row r="33" ht="46" customHeight="1">
      <c r="B33" s="8" t="inlineStr">
        <is>
          <t>Lote 2 (DH 4, DH 5, DH 6)</t>
        </is>
      </c>
      <c r="C33" s="67" t="n">
        <v>46267</v>
      </c>
      <c r="D33" s="9" t="inlineStr">
        <is>
          <t>-29 dia(s) de folga antes de empurrar o lote 3</t>
        </is>
      </c>
      <c r="E33" s="9" t="inlineStr">
        <is>
          <t>4ª turma: +7d; fim da fase DH: +107d (considerando a folga natural entre lotes)</t>
        </is>
      </c>
      <c r="F33" s="9" t="inlineStr">
        <is>
          <t>Palestras deste lote podem precisar de reforço de mobilização/reagendamento se o quórum não fechar.</t>
        </is>
      </c>
      <c r="G33" s="12" t="inlineStr">
        <is>
          <t>Condicionado à validação</t>
        </is>
      </c>
    </row>
    <row r="34" ht="46" customHeight="1">
      <c r="B34" s="8" t="inlineStr">
        <is>
          <t>Lote 3 (DH 7, DH 8, DH 9)</t>
        </is>
      </c>
      <c r="C34" s="67" t="n">
        <v>46288</v>
      </c>
      <c r="D34" s="9" t="inlineStr">
        <is>
          <t>-30 dia(s) de folga antes de empurrar o lote 4</t>
        </is>
      </c>
      <c r="E34" s="9" t="inlineStr">
        <is>
          <t>4ª turma: sem mudança; fim da fase DH: +78d (considerando a folga natural entre lotes)</t>
        </is>
      </c>
      <c r="F34" s="9" t="inlineStr">
        <is>
          <t>Palestras deste lote podem precisar de reforço de mobilização/reagendamento se o quórum não fechar.</t>
        </is>
      </c>
      <c r="G34" s="12" t="inlineStr">
        <is>
          <t>Condicionado à validação</t>
        </is>
      </c>
    </row>
    <row r="35" ht="46" customHeight="1">
      <c r="B35" s="8" t="inlineStr">
        <is>
          <t>Lote 4 (DH 10, DH 11, DH 12)</t>
        </is>
      </c>
      <c r="C35" s="67" t="n">
        <v>46322</v>
      </c>
      <c r="D35" s="9" t="inlineStr">
        <is>
          <t>-41 dia(s) de folga antes de empurrar o lote 5</t>
        </is>
      </c>
      <c r="E35" s="9" t="inlineStr">
        <is>
          <t>4ª turma: sem mudança; fim da fase DH: +48d (considerando a folga natural entre lotes)</t>
        </is>
      </c>
      <c r="F35" s="9" t="inlineStr">
        <is>
          <t>Palestras deste lote podem precisar de reforço de mobilização/reagendamento se o quórum não fechar.</t>
        </is>
      </c>
      <c r="G35" s="12" t="inlineStr">
        <is>
          <t>Condicionado à validação</t>
        </is>
      </c>
    </row>
    <row r="36" ht="46" customHeight="1">
      <c r="B36" s="8" t="inlineStr">
        <is>
          <t>Lote 5 (DH 13, DH 14, DH 15)</t>
        </is>
      </c>
      <c r="C36" s="67" t="n">
        <v>46357</v>
      </c>
      <c r="D36" s="9" t="inlineStr">
        <is>
          <t>Último lote — atraso aqui só afeta o fim da fase DH</t>
        </is>
      </c>
      <c r="E36" s="9" t="inlineStr">
        <is>
          <t>4ª turma: sem mudança; fim da fase DH: +7d (considerando a folga natural entre lotes)</t>
        </is>
      </c>
      <c r="F36" s="9" t="inlineStr">
        <is>
          <t>Palestras deste lote podem precisar de reforço de mobilização/reagendamento se o quórum não fechar.</t>
        </is>
      </c>
      <c r="G36" s="12" t="inlineStr">
        <is>
          <t>Condicionado à validação</t>
        </is>
      </c>
    </row>
    <row r="38">
      <c r="B38" s="17" t="inlineStr">
        <is>
          <t>SIMULAÇÃO DE IMPACTO — ATRASO DE 7 DIAS NO LOTE 1 (ex.: quórum insuficiente nas primeiras Palestras)</t>
        </is>
      </c>
    </row>
    <row r="39" ht="30" customHeight="1">
      <c r="B39" s="27" t="inlineStr">
        <is>
          <t>Cenário de folga</t>
        </is>
      </c>
      <c r="C39" s="27" t="inlineStr">
        <is>
          <t>4ª turma concluída
(original)</t>
        </is>
      </c>
      <c r="D39" s="27" t="inlineStr">
        <is>
          <t>4ª turma concluída
(com atraso)</t>
        </is>
      </c>
      <c r="E39" s="27" t="inlineStr">
        <is>
          <t>Fim da fase DH
(original)</t>
        </is>
      </c>
      <c r="F39" s="27" t="inlineStr">
        <is>
          <t>Fim da fase DH
(com atraso)</t>
        </is>
      </c>
      <c r="G39" s="27" t="inlineStr">
        <is>
          <t>Leitura</t>
        </is>
      </c>
    </row>
    <row r="40" ht="34" customHeight="1">
      <c r="B40" s="8" t="inlineStr">
        <is>
          <t>Otimista — folgas naturais entre lotes absorvem parte do atraso</t>
        </is>
      </c>
      <c r="C40" s="67" t="n">
        <v>46309</v>
      </c>
      <c r="D40" s="67" t="n">
        <v>46335</v>
      </c>
      <c r="E40" s="67" t="n">
        <v>46426</v>
      </c>
      <c r="F40" s="67" t="n">
        <v>46552</v>
      </c>
      <c r="G40" s="9" t="inlineStr">
        <is>
          <t>4ª turma desloca 26d; fim da fase DH desloca 126d</t>
        </is>
      </c>
    </row>
    <row r="41" ht="34" customHeight="1">
      <c r="B41" s="8" t="inlineStr">
        <is>
          <t>Conservador (pior caso) — nenhuma folga é aproveitada, atraso se propaga integralmente</t>
        </is>
      </c>
      <c r="C41" s="67" t="n">
        <v>46309</v>
      </c>
      <c r="D41" s="67" t="n">
        <v>46316</v>
      </c>
      <c r="E41" s="67" t="n">
        <v>46426</v>
      </c>
      <c r="F41" s="67" t="n">
        <v>46433</v>
      </c>
      <c r="G41" s="9" t="inlineStr">
        <is>
          <t>4ª turma desloca 7d; fim da fase DH desloca 7d</t>
        </is>
      </c>
    </row>
  </sheetData>
  <mergeCells count="11">
    <mergeCell ref="D24:I24"/>
    <mergeCell ref="D27:I27"/>
    <mergeCell ref="B30:I30"/>
    <mergeCell ref="D28:I28"/>
    <mergeCell ref="D22:I22"/>
    <mergeCell ref="D23:I23"/>
    <mergeCell ref="B2:I2"/>
    <mergeCell ref="B38:I38"/>
    <mergeCell ref="B3:I3"/>
    <mergeCell ref="D26:I26"/>
    <mergeCell ref="D25:I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DC3E6"/>
    <outlinePr summaryBelow="1" summaryRight="1"/>
    <pageSetUpPr/>
  </sheetPr>
  <dimension ref="B2:J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34" customWidth="1" min="9" max="9"/>
    <col width="3" customWidth="1" min="10" max="10"/>
  </cols>
  <sheetData>
    <row r="2" ht="28" customHeight="1">
      <c r="B2" s="1" t="inlineStr">
        <is>
          <t xml:space="preserve">CENÁRIO D — 2 SALAS | DH 5x/semana  </t>
        </is>
      </c>
    </row>
    <row r="3">
      <c r="B3" s="2" t="inlineStr">
        <is>
          <t>Viavel, porem com pouca folga e alta intensidade diaria.  |  Indicação: Plano de contingencia</t>
        </is>
      </c>
    </row>
    <row r="5" ht="30" customHeight="1">
      <c r="B5" s="27" t="inlineStr">
        <is>
          <t>Turma DH</t>
        </is>
      </c>
      <c r="C5" s="27" t="inlineStr">
        <is>
          <t>Lote</t>
        </is>
      </c>
      <c r="D5" s="27" t="inlineStr">
        <is>
          <t>Sala</t>
        </is>
      </c>
      <c r="E5" s="27" t="inlineStr">
        <is>
          <t>Cadência</t>
        </is>
      </c>
      <c r="F5" s="27" t="inlineStr">
        <is>
          <t>Início</t>
        </is>
      </c>
      <c r="G5" s="27" t="inlineStr">
        <is>
          <t>Término</t>
        </is>
      </c>
      <c r="H5" s="27" t="inlineStr">
        <is>
          <t>Encontros</t>
        </is>
      </c>
      <c r="I5" s="27" t="inlineStr">
        <is>
          <t>Nº aprox. de
participantes</t>
        </is>
      </c>
      <c r="J5" s="27" t="inlineStr">
        <is>
          <t>Observação</t>
        </is>
      </c>
    </row>
    <row r="6" ht="22" customHeight="1">
      <c r="B6" s="18" t="inlineStr">
        <is>
          <t>DH 1</t>
        </is>
      </c>
      <c r="C6" s="25" t="n">
        <v>1</v>
      </c>
      <c r="D6" s="25" t="inlineStr">
        <is>
          <t>Sala 1</t>
        </is>
      </c>
      <c r="E6" s="25" t="inlineStr">
        <is>
          <t>Seg-Sex</t>
        </is>
      </c>
      <c r="F6" s="67" t="n">
        <v>46258</v>
      </c>
      <c r="G6" s="67" t="n">
        <v>46269</v>
      </c>
      <c r="H6" s="25" t="n">
        <v>10</v>
      </c>
      <c r="I6" s="68" t="inlineStr">
        <is>
          <t>—</t>
        </is>
      </c>
    </row>
    <row r="7" ht="22" customHeight="1">
      <c r="B7" s="18" t="inlineStr">
        <is>
          <t>DH 2</t>
        </is>
      </c>
      <c r="C7" s="25" t="n">
        <v>1</v>
      </c>
      <c r="D7" s="25" t="inlineStr">
        <is>
          <t>Sala 2</t>
        </is>
      </c>
      <c r="E7" s="25" t="inlineStr">
        <is>
          <t>Seg-Sex</t>
        </is>
      </c>
      <c r="F7" s="67" t="n">
        <v>46258</v>
      </c>
      <c r="G7" s="67" t="n">
        <v>46269</v>
      </c>
      <c r="H7" s="25" t="n">
        <v>10</v>
      </c>
      <c r="I7" s="68" t="inlineStr">
        <is>
          <t>—</t>
        </is>
      </c>
    </row>
    <row r="8" ht="22" customHeight="1">
      <c r="B8" s="18" t="inlineStr">
        <is>
          <t>DH 3</t>
        </is>
      </c>
      <c r="C8" s="25" t="n">
        <v>2</v>
      </c>
      <c r="D8" s="25" t="inlineStr">
        <is>
          <t>Sala 1</t>
        </is>
      </c>
      <c r="E8" s="25" t="inlineStr">
        <is>
          <t>Seg-Sex</t>
        </is>
      </c>
      <c r="F8" s="67" t="n">
        <v>46273</v>
      </c>
      <c r="G8" s="67" t="n">
        <v>46286</v>
      </c>
      <c r="H8" s="25" t="n">
        <v>10</v>
      </c>
      <c r="I8" s="68" t="inlineStr">
        <is>
          <t>—</t>
        </is>
      </c>
    </row>
    <row r="9" ht="22" customHeight="1">
      <c r="B9" s="18" t="inlineStr">
        <is>
          <t>DH 4</t>
        </is>
      </c>
      <c r="C9" s="25" t="n">
        <v>2</v>
      </c>
      <c r="D9" s="25" t="inlineStr">
        <is>
          <t>Sala 2</t>
        </is>
      </c>
      <c r="E9" s="25" t="inlineStr">
        <is>
          <t>Seg-Sex</t>
        </is>
      </c>
      <c r="F9" s="67" t="n">
        <v>46273</v>
      </c>
      <c r="G9" s="67" t="n">
        <v>46286</v>
      </c>
      <c r="H9" s="25" t="n">
        <v>10</v>
      </c>
      <c r="I9" s="68" t="inlineStr">
        <is>
          <t>—</t>
        </is>
      </c>
    </row>
    <row r="10" ht="22" customHeight="1">
      <c r="B10" s="18" t="inlineStr">
        <is>
          <t>DH 5</t>
        </is>
      </c>
      <c r="C10" s="25" t="n">
        <v>3</v>
      </c>
      <c r="D10" s="25" t="inlineStr">
        <is>
          <t>Sala 1</t>
        </is>
      </c>
      <c r="E10" s="25" t="inlineStr">
        <is>
          <t>Seg-Sex</t>
        </is>
      </c>
      <c r="F10" s="67" t="n">
        <v>46287</v>
      </c>
      <c r="G10" s="67" t="n">
        <v>46300</v>
      </c>
      <c r="H10" s="25" t="n">
        <v>10</v>
      </c>
      <c r="I10" s="68" t="inlineStr">
        <is>
          <t>—</t>
        </is>
      </c>
    </row>
    <row r="11" ht="22" customHeight="1">
      <c r="B11" s="18" t="inlineStr">
        <is>
          <t>DH 6</t>
        </is>
      </c>
      <c r="C11" s="25" t="n">
        <v>3</v>
      </c>
      <c r="D11" s="25" t="inlineStr">
        <is>
          <t>Sala 2</t>
        </is>
      </c>
      <c r="E11" s="25" t="inlineStr">
        <is>
          <t>Seg-Sex</t>
        </is>
      </c>
      <c r="F11" s="67" t="n">
        <v>46287</v>
      </c>
      <c r="G11" s="67" t="n">
        <v>46300</v>
      </c>
      <c r="H11" s="25" t="n">
        <v>10</v>
      </c>
      <c r="I11" s="68" t="inlineStr">
        <is>
          <t>—</t>
        </is>
      </c>
    </row>
    <row r="12" ht="22" customHeight="1">
      <c r="B12" s="69" t="inlineStr">
        <is>
          <t>DH 7</t>
        </is>
      </c>
      <c r="C12" s="70" t="n">
        <v>4</v>
      </c>
      <c r="D12" s="70" t="inlineStr">
        <is>
          <t>Sala 1</t>
        </is>
      </c>
      <c r="E12" s="70" t="inlineStr">
        <is>
          <t>Seg-Sex</t>
        </is>
      </c>
      <c r="F12" s="71" t="n">
        <v>46301</v>
      </c>
      <c r="G12" s="71" t="n">
        <v>46315</v>
      </c>
      <c r="H12" s="70" t="n">
        <v>10</v>
      </c>
      <c r="I12" s="72" t="inlineStr">
        <is>
          <t>Encontro cai em feriado: 12/10</t>
        </is>
      </c>
    </row>
    <row r="13" ht="22" customHeight="1">
      <c r="B13" s="69" t="inlineStr">
        <is>
          <t>DH 8</t>
        </is>
      </c>
      <c r="C13" s="70" t="n">
        <v>4</v>
      </c>
      <c r="D13" s="70" t="inlineStr">
        <is>
          <t>Sala 2</t>
        </is>
      </c>
      <c r="E13" s="70" t="inlineStr">
        <is>
          <t>Seg-Sex</t>
        </is>
      </c>
      <c r="F13" s="71" t="n">
        <v>46301</v>
      </c>
      <c r="G13" s="71" t="n">
        <v>46315</v>
      </c>
      <c r="H13" s="70" t="n">
        <v>10</v>
      </c>
      <c r="I13" s="72" t="inlineStr">
        <is>
          <t>Encontro cai em feriado: 12/10</t>
        </is>
      </c>
    </row>
    <row r="14" ht="22" customHeight="1">
      <c r="B14" s="69" t="inlineStr">
        <is>
          <t>DH 9</t>
        </is>
      </c>
      <c r="C14" s="70" t="n">
        <v>5</v>
      </c>
      <c r="D14" s="70" t="inlineStr">
        <is>
          <t>Sala 1</t>
        </is>
      </c>
      <c r="E14" s="70" t="inlineStr">
        <is>
          <t>Seg-Sex</t>
        </is>
      </c>
      <c r="F14" s="71" t="n">
        <v>46316</v>
      </c>
      <c r="G14" s="71" t="n">
        <v>46330</v>
      </c>
      <c r="H14" s="70" t="n">
        <v>10</v>
      </c>
      <c r="I14" s="72" t="inlineStr">
        <is>
          <t>Encontro cai em feriado: 02/11</t>
        </is>
      </c>
    </row>
    <row r="15" ht="22" customHeight="1">
      <c r="B15" s="69" t="inlineStr">
        <is>
          <t>DH 10</t>
        </is>
      </c>
      <c r="C15" s="70" t="n">
        <v>5</v>
      </c>
      <c r="D15" s="70" t="inlineStr">
        <is>
          <t>Sala 2</t>
        </is>
      </c>
      <c r="E15" s="70" t="inlineStr">
        <is>
          <t>Seg-Sex</t>
        </is>
      </c>
      <c r="F15" s="71" t="n">
        <v>46316</v>
      </c>
      <c r="G15" s="71" t="n">
        <v>46330</v>
      </c>
      <c r="H15" s="70" t="n">
        <v>10</v>
      </c>
      <c r="I15" s="72" t="inlineStr">
        <is>
          <t>Encontro cai em feriado: 02/11</t>
        </is>
      </c>
    </row>
    <row r="16" ht="22" customHeight="1">
      <c r="B16" s="18" t="inlineStr">
        <is>
          <t>DH 11</t>
        </is>
      </c>
      <c r="C16" s="25" t="n">
        <v>6</v>
      </c>
      <c r="D16" s="25" t="inlineStr">
        <is>
          <t>Sala 1</t>
        </is>
      </c>
      <c r="E16" s="25" t="inlineStr">
        <is>
          <t>Seg-Sex</t>
        </is>
      </c>
      <c r="F16" s="67" t="n">
        <v>46331</v>
      </c>
      <c r="G16" s="67" t="n">
        <v>46344</v>
      </c>
      <c r="H16" s="25" t="n">
        <v>10</v>
      </c>
      <c r="I16" s="68" t="inlineStr">
        <is>
          <t>—</t>
        </is>
      </c>
    </row>
    <row r="17" ht="22" customHeight="1">
      <c r="B17" s="18" t="inlineStr">
        <is>
          <t>DH 12</t>
        </is>
      </c>
      <c r="C17" s="25" t="n">
        <v>6</v>
      </c>
      <c r="D17" s="25" t="inlineStr">
        <is>
          <t>Sala 2</t>
        </is>
      </c>
      <c r="E17" s="25" t="inlineStr">
        <is>
          <t>Seg-Sex</t>
        </is>
      </c>
      <c r="F17" s="67" t="n">
        <v>46331</v>
      </c>
      <c r="G17" s="67" t="n">
        <v>46344</v>
      </c>
      <c r="H17" s="25" t="n">
        <v>10</v>
      </c>
      <c r="I17" s="68" t="inlineStr">
        <is>
          <t>—</t>
        </is>
      </c>
    </row>
    <row r="18" ht="22" customHeight="1">
      <c r="B18" s="69" t="inlineStr">
        <is>
          <t>DH 13</t>
        </is>
      </c>
      <c r="C18" s="70" t="n">
        <v>7</v>
      </c>
      <c r="D18" s="70" t="inlineStr">
        <is>
          <t>Sala 1</t>
        </is>
      </c>
      <c r="E18" s="70" t="inlineStr">
        <is>
          <t>Seg-Sex</t>
        </is>
      </c>
      <c r="F18" s="71" t="n">
        <v>46345</v>
      </c>
      <c r="G18" s="71" t="n">
        <v>46359</v>
      </c>
      <c r="H18" s="70" t="n">
        <v>10</v>
      </c>
      <c r="I18" s="72" t="inlineStr">
        <is>
          <t>Encontro cai em feriado: 20/11</t>
        </is>
      </c>
    </row>
    <row r="19" ht="22" customHeight="1">
      <c r="B19" s="69" t="inlineStr">
        <is>
          <t>DH 14</t>
        </is>
      </c>
      <c r="C19" s="70" t="n">
        <v>7</v>
      </c>
      <c r="D19" s="70" t="inlineStr">
        <is>
          <t>Sala 2</t>
        </is>
      </c>
      <c r="E19" s="70" t="inlineStr">
        <is>
          <t>Seg-Sex</t>
        </is>
      </c>
      <c r="F19" s="71" t="n">
        <v>46345</v>
      </c>
      <c r="G19" s="71" t="n">
        <v>46359</v>
      </c>
      <c r="H19" s="70" t="n">
        <v>10</v>
      </c>
      <c r="I19" s="72" t="inlineStr">
        <is>
          <t>Encontro cai em feriado: 20/11</t>
        </is>
      </c>
    </row>
    <row r="20" ht="22" customHeight="1">
      <c r="B20" s="18" t="inlineStr">
        <is>
          <t>DH 15</t>
        </is>
      </c>
      <c r="C20" s="25" t="n">
        <v>8</v>
      </c>
      <c r="D20" s="25" t="inlineStr">
        <is>
          <t>Sala 1</t>
        </is>
      </c>
      <c r="E20" s="25" t="inlineStr">
        <is>
          <t>Seg-Sex</t>
        </is>
      </c>
      <c r="F20" s="67" t="n">
        <v>46360</v>
      </c>
      <c r="G20" s="67" t="n">
        <v>46373</v>
      </c>
      <c r="H20" s="25" t="n">
        <v>10</v>
      </c>
      <c r="I20" s="68" t="inlineStr">
        <is>
          <t>—</t>
        </is>
      </c>
    </row>
    <row r="22" ht="30" customHeight="1">
      <c r="B22" s="6" t="inlineStr">
        <is>
          <t>Indicador</t>
        </is>
      </c>
      <c r="C22" s="6" t="inlineStr">
        <is>
          <t>Resultado</t>
        </is>
      </c>
      <c r="D22" s="6" t="inlineStr">
        <is>
          <t>Leitura</t>
        </is>
      </c>
      <c r="E22" s="73" t="n"/>
      <c r="F22" s="73" t="n"/>
      <c r="G22" s="73" t="n"/>
      <c r="H22" s="73" t="n"/>
      <c r="I22" s="74" t="n"/>
    </row>
    <row r="23" ht="26" customHeight="1">
      <c r="B23" s="18" t="inlineStr">
        <is>
          <t>Início da 1ª turma</t>
        </is>
      </c>
      <c r="C23" s="75">
        <f>MIN(F6:F20)</f>
        <v/>
      </c>
      <c r="D23" s="9" t="inlineStr">
        <is>
          <t>Marco de início da fase de Desenvolvimento Humano</t>
        </is>
      </c>
    </row>
    <row r="24" ht="26" customHeight="1">
      <c r="B24" s="18" t="inlineStr">
        <is>
          <t>Conclusão da 4ª turma</t>
        </is>
      </c>
      <c r="C24" s="75">
        <f>SMALL(G6:G20,4)</f>
        <v/>
      </c>
      <c r="D24" s="9" t="inlineStr">
        <is>
          <t>Marco para liberar o primeiro lote de Curso Técnico (premissa: após 4 DH) — data PROPOSTA, condicionada a quórum real</t>
        </is>
      </c>
    </row>
    <row r="25" ht="26" customHeight="1">
      <c r="B25" s="18" t="inlineStr">
        <is>
          <t>Conclusão da 15ª turma (todas)</t>
        </is>
      </c>
      <c r="C25" s="75">
        <f>MAX(G6:G20)</f>
        <v/>
      </c>
      <c r="D25" s="9" t="inlineStr">
        <is>
          <t>Fim estimado da fase de Desenvolvimento Humano</t>
        </is>
      </c>
    </row>
    <row r="26" ht="26" customHeight="1">
      <c r="B26" s="18" t="inlineStr">
        <is>
          <t>Duração da fase DH (dias corridos)</t>
        </is>
      </c>
      <c r="C26" s="76">
        <f>C25-C23+1</f>
        <v/>
      </c>
      <c r="D26" s="9" t="inlineStr">
        <is>
          <t>Da 1ª turma iniciada até a 15ª concluída</t>
        </is>
      </c>
    </row>
    <row r="27" ht="26" customHeight="1">
      <c r="B27" s="18" t="inlineStr">
        <is>
          <t>Turmas ativas na mesma semana (pico)</t>
        </is>
      </c>
      <c r="C27" s="76" t="n">
        <v>4</v>
      </c>
      <c r="D27" s="9" t="inlineStr">
        <is>
          <t>Nº de turmas com o período [início,término] tocando a mesma semana corrida — NÃO é o nº de turmas se encontrando na mesma noite.</t>
        </is>
      </c>
    </row>
    <row r="28" ht="26" customHeight="1">
      <c r="B28" s="18" t="inlineStr">
        <is>
          <t>Máximo de turmas na MESMA noite (mesma sala/horário)</t>
        </is>
      </c>
      <c r="C28" s="76" t="n">
        <v>2</v>
      </c>
      <c r="D28" s="9" t="inlineStr">
        <is>
          <t>Limite físico real: 2 sala(s) → no máximo 2 atividades simultâneas por noite. O uso alternado de dias (ex.: Seg/Qua com Ter/Qui) permite mais turmas ATIVAS na semana, mas não aumenta o nº de salas físicas disponíveis por noite.</t>
        </is>
      </c>
    </row>
    <row r="30">
      <c r="B30" s="17" t="inlineStr">
        <is>
          <t>MARCOS DE VALIDAÇÃO DE QUÓRUM POR LOTE — formação de turma é CONDICIONADA, não automática</t>
        </is>
      </c>
    </row>
    <row r="31" ht="30" customHeight="1">
      <c r="B31" s="27" t="inlineStr">
        <is>
          <t>Lote</t>
        </is>
      </c>
      <c r="C31" s="27" t="inlineStr">
        <is>
          <t>Data planejada
de validação</t>
        </is>
      </c>
      <c r="D31" s="27" t="inlineStr">
        <is>
          <t>Data-limite /
janela de contingência</t>
        </is>
      </c>
      <c r="E31" s="27" t="inlineStr">
        <is>
          <t>Impacto de atraso
de 7 dias no lote</t>
        </is>
      </c>
      <c r="F31" s="27" t="inlineStr">
        <is>
          <t>Risco de palestra
reagendada</t>
        </is>
      </c>
      <c r="G31" s="27" t="inlineStr">
        <is>
          <t>Status</t>
        </is>
      </c>
    </row>
    <row r="32" ht="46" customHeight="1">
      <c r="B32" s="8" t="inlineStr">
        <is>
          <t>Lote 1 (DH 1, DH 2)</t>
        </is>
      </c>
      <c r="C32" s="67" t="n">
        <v>46251</v>
      </c>
      <c r="D32" s="9" t="inlineStr">
        <is>
          <t>4 dia(s) de folga antes de empurrar o lote 2</t>
        </is>
      </c>
      <c r="E32" s="9" t="inlineStr">
        <is>
          <t>4ª turma: +3d; fim da fase DH: sem mudança (considerando a folga natural entre lotes)</t>
        </is>
      </c>
      <c r="F32" s="9" t="inlineStr">
        <is>
          <t>Palestras deste lote podem precisar de reforço de mobilização/reagendamento se o quórum não fechar.</t>
        </is>
      </c>
      <c r="G32" s="12" t="inlineStr">
        <is>
          <t>Condicionado à validação</t>
        </is>
      </c>
    </row>
    <row r="33" ht="46" customHeight="1">
      <c r="B33" s="8" t="inlineStr">
        <is>
          <t>Lote 2 (DH 3, DH 4)</t>
        </is>
      </c>
      <c r="C33" s="67" t="n">
        <v>46266</v>
      </c>
      <c r="D33" s="9" t="inlineStr">
        <is>
          <t>1 dia(s) de folga antes de empurrar o lote 3</t>
        </is>
      </c>
      <c r="E33" s="9" t="inlineStr">
        <is>
          <t>4ª turma: +7d; fim da fase DH: +1d (considerando a folga natural entre lotes)</t>
        </is>
      </c>
      <c r="F33" s="9" t="inlineStr">
        <is>
          <t>Palestras deste lote podem precisar de reforço de mobilização/reagendamento se o quórum não fechar.</t>
        </is>
      </c>
      <c r="G33" s="12" t="inlineStr">
        <is>
          <t>Condicionado à validação</t>
        </is>
      </c>
    </row>
    <row r="34" ht="46" customHeight="1">
      <c r="B34" s="8" t="inlineStr">
        <is>
          <t>Lote 3 (DH 5, DH 6)</t>
        </is>
      </c>
      <c r="C34" s="67" t="n">
        <v>46280</v>
      </c>
      <c r="D34" s="9" t="inlineStr">
        <is>
          <t>1 dia(s) de folga antes de empurrar o lote 4</t>
        </is>
      </c>
      <c r="E34" s="9" t="inlineStr">
        <is>
          <t>4ª turma: sem mudança; fim da fase DH: +2d (considerando a folga natural entre lotes)</t>
        </is>
      </c>
      <c r="F34" s="9" t="inlineStr">
        <is>
          <t>Palestras deste lote podem precisar de reforço de mobilização/reagendamento se o quórum não fechar.</t>
        </is>
      </c>
      <c r="G34" s="12" t="inlineStr">
        <is>
          <t>Condicionado à validação</t>
        </is>
      </c>
    </row>
    <row r="35" ht="46" customHeight="1">
      <c r="B35" s="8" t="inlineStr">
        <is>
          <t>Lote 4 (DH 7, DH 8)</t>
        </is>
      </c>
      <c r="C35" s="67" t="n">
        <v>46294</v>
      </c>
      <c r="D35" s="9" t="inlineStr">
        <is>
          <t>1 dia(s) de folga antes de empurrar o lote 5</t>
        </is>
      </c>
      <c r="E35" s="9" t="inlineStr">
        <is>
          <t>4ª turma: sem mudança; fim da fase DH: +3d (considerando a folga natural entre lotes)</t>
        </is>
      </c>
      <c r="F35" s="9" t="inlineStr">
        <is>
          <t>Palestras deste lote podem precisar de reforço de mobilização/reagendamento se o quórum não fechar.</t>
        </is>
      </c>
      <c r="G35" s="12" t="inlineStr">
        <is>
          <t>Condicionado à validação</t>
        </is>
      </c>
    </row>
    <row r="36" ht="46" customHeight="1">
      <c r="B36" s="8" t="inlineStr">
        <is>
          <t>Lote 5 (DH 9, DH 10)</t>
        </is>
      </c>
      <c r="C36" s="67" t="n">
        <v>46309</v>
      </c>
      <c r="D36" s="9" t="inlineStr">
        <is>
          <t>1 dia(s) de folga antes de empurrar o lote 6</t>
        </is>
      </c>
      <c r="E36" s="9" t="inlineStr">
        <is>
          <t>4ª turma: sem mudança; fim da fase DH: +4d (considerando a folga natural entre lotes)</t>
        </is>
      </c>
      <c r="F36" s="9" t="inlineStr">
        <is>
          <t>Palestras deste lote podem precisar de reforço de mobilização/reagendamento se o quórum não fechar.</t>
        </is>
      </c>
      <c r="G36" s="12" t="inlineStr">
        <is>
          <t>Condicionado à validação</t>
        </is>
      </c>
    </row>
    <row r="37" ht="46" customHeight="1">
      <c r="B37" s="8" t="inlineStr">
        <is>
          <t>Lote 6 (DH 11, DH 12)</t>
        </is>
      </c>
      <c r="C37" s="67" t="n">
        <v>46324</v>
      </c>
      <c r="D37" s="9" t="inlineStr">
        <is>
          <t>1 dia(s) de folga antes de empurrar o lote 7</t>
        </is>
      </c>
      <c r="E37" s="9" t="inlineStr">
        <is>
          <t>4ª turma: sem mudança; fim da fase DH: +5d (considerando a folga natural entre lotes)</t>
        </is>
      </c>
      <c r="F37" s="9" t="inlineStr">
        <is>
          <t>Palestras deste lote podem precisar de reforço de mobilização/reagendamento se o quórum não fechar.</t>
        </is>
      </c>
      <c r="G37" s="12" t="inlineStr">
        <is>
          <t>Condicionado à validação</t>
        </is>
      </c>
    </row>
    <row r="38" ht="46" customHeight="1">
      <c r="B38" s="8" t="inlineStr">
        <is>
          <t>Lote 7 (DH 13, DH 14)</t>
        </is>
      </c>
      <c r="C38" s="67" t="n">
        <v>46338</v>
      </c>
      <c r="D38" s="9" t="inlineStr">
        <is>
          <t>1 dia(s) de folga antes de empurrar o lote 8</t>
        </is>
      </c>
      <c r="E38" s="9" t="inlineStr">
        <is>
          <t>4ª turma: sem mudança; fim da fase DH: +6d (considerando a folga natural entre lotes)</t>
        </is>
      </c>
      <c r="F38" s="9" t="inlineStr">
        <is>
          <t>Palestras deste lote podem precisar de reforço de mobilização/reagendamento se o quórum não fechar.</t>
        </is>
      </c>
      <c r="G38" s="12" t="inlineStr">
        <is>
          <t>Condicionado à validação</t>
        </is>
      </c>
    </row>
    <row r="39" ht="46" customHeight="1">
      <c r="B39" s="8" t="inlineStr">
        <is>
          <t>Lote 8 (DH 15)</t>
        </is>
      </c>
      <c r="C39" s="67" t="n">
        <v>46353</v>
      </c>
      <c r="D39" s="9" t="inlineStr">
        <is>
          <t>Último lote — atraso aqui só afeta o fim da fase DH</t>
        </is>
      </c>
      <c r="E39" s="9" t="inlineStr">
        <is>
          <t>4ª turma: sem mudança; fim da fase DH: +7d (considerando a folga natural entre lotes)</t>
        </is>
      </c>
      <c r="F39" s="9" t="inlineStr">
        <is>
          <t>Palestras deste lote podem precisar de reforço de mobilização/reagendamento se o quórum não fechar.</t>
        </is>
      </c>
      <c r="G39" s="12" t="inlineStr">
        <is>
          <t>Condicionado à validação</t>
        </is>
      </c>
    </row>
    <row r="41">
      <c r="B41" s="17" t="inlineStr">
        <is>
          <t>SIMULAÇÃO DE IMPACTO — ATRASO DE 7 DIAS NO LOTE 1 (ex.: quórum insuficiente nas primeiras Palestras)</t>
        </is>
      </c>
    </row>
    <row r="42" ht="30" customHeight="1">
      <c r="B42" s="27" t="inlineStr">
        <is>
          <t>Cenário de folga</t>
        </is>
      </c>
      <c r="C42" s="27" t="inlineStr">
        <is>
          <t>4ª turma concluída
(original)</t>
        </is>
      </c>
      <c r="D42" s="27" t="inlineStr">
        <is>
          <t>4ª turma concluída
(com atraso)</t>
        </is>
      </c>
      <c r="E42" s="27" t="inlineStr">
        <is>
          <t>Fim da fase DH
(original)</t>
        </is>
      </c>
      <c r="F42" s="27" t="inlineStr">
        <is>
          <t>Fim da fase DH
(com atraso)</t>
        </is>
      </c>
      <c r="G42" s="27" t="inlineStr">
        <is>
          <t>Leitura</t>
        </is>
      </c>
    </row>
    <row r="43" ht="34" customHeight="1">
      <c r="B43" s="8" t="inlineStr">
        <is>
          <t>Otimista — folgas naturais entre lotes absorvem parte do atraso</t>
        </is>
      </c>
      <c r="C43" s="67" t="n">
        <v>46286</v>
      </c>
      <c r="D43" s="67" t="n">
        <v>46289</v>
      </c>
      <c r="E43" s="67" t="n">
        <v>46373</v>
      </c>
      <c r="F43" s="67" t="n">
        <v>46373</v>
      </c>
      <c r="G43" s="9" t="inlineStr">
        <is>
          <t>4ª turma desloca 3d; fim da fase DH desloca 0d</t>
        </is>
      </c>
    </row>
    <row r="44" ht="34" customHeight="1">
      <c r="B44" s="8" t="inlineStr">
        <is>
          <t>Conservador (pior caso) — nenhuma folga é aproveitada, atraso se propaga integralmente</t>
        </is>
      </c>
      <c r="C44" s="67" t="n">
        <v>46286</v>
      </c>
      <c r="D44" s="67" t="n">
        <v>46293</v>
      </c>
      <c r="E44" s="67" t="n">
        <v>46373</v>
      </c>
      <c r="F44" s="67" t="n">
        <v>46380</v>
      </c>
      <c r="G44" s="9" t="inlineStr">
        <is>
          <t>4ª turma desloca 7d; fim da fase DH desloca 7d</t>
        </is>
      </c>
    </row>
  </sheetData>
  <mergeCells count="11">
    <mergeCell ref="D24:I24"/>
    <mergeCell ref="D27:I27"/>
    <mergeCell ref="B30:I30"/>
    <mergeCell ref="D28:I28"/>
    <mergeCell ref="D22:I22"/>
    <mergeCell ref="D23:I23"/>
    <mergeCell ref="B2:I2"/>
    <mergeCell ref="B3:I3"/>
    <mergeCell ref="D26:I26"/>
    <mergeCell ref="B41:I41"/>
    <mergeCell ref="D25:I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B2:G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4" customWidth="1" min="4" max="4"/>
    <col width="14" customWidth="1" min="5" max="5"/>
    <col width="22" customWidth="1" min="6" max="6"/>
    <col width="46" customWidth="1" min="7" max="7"/>
    <col width="3" customWidth="1" min="8" max="8"/>
  </cols>
  <sheetData>
    <row r="2" ht="28" customHeight="1">
      <c r="B2" s="1" t="inlineStr">
        <is>
          <t>CRONOGRAMA MESTRE DE PAULÍNIA — VISÃO COMPLETA DA EXECUÇÃO</t>
        </is>
      </c>
    </row>
    <row r="3">
      <c r="B3" s="2" t="inlineStr">
        <is>
          <t>Referência: Cenário B + variante B1 de OG (NÃO confirmada). Parte dos Cursos Técnicos e da Consultoria Individual permanece programada para 2027 — ver 04_RESUMO_EXECUTIVO.</t>
        </is>
      </c>
    </row>
    <row r="5" ht="30" customHeight="1">
      <c r="B5" s="27" t="inlineStr">
        <is>
          <t>Etapa</t>
        </is>
      </c>
      <c r="C5" s="27" t="inlineStr">
        <is>
          <t>Atividade / Turma</t>
        </is>
      </c>
      <c r="D5" s="27" t="inlineStr">
        <is>
          <t>Início</t>
        </is>
      </c>
      <c r="E5" s="27" t="inlineStr">
        <is>
          <t>Término</t>
        </is>
      </c>
      <c r="F5" s="27" t="inlineStr">
        <is>
          <t>Local / Sala</t>
        </is>
      </c>
      <c r="G5" s="27" t="inlineStr">
        <is>
          <t>Observação (premissa/situação)</t>
        </is>
      </c>
    </row>
    <row r="6" ht="22" customHeight="1">
      <c r="B6" s="78" t="inlineStr">
        <is>
          <t>PS</t>
        </is>
      </c>
      <c r="C6" s="9" t="inlineStr">
        <is>
          <t>Palestras de Sensibilização (PS 01-30)</t>
        </is>
      </c>
      <c r="D6" s="67" t="n">
        <v>46245</v>
      </c>
      <c r="E6" s="67" t="n">
        <v>46310</v>
      </c>
      <c r="F6" s="79" t="inlineStr">
        <is>
          <t>A definir por comunidade</t>
        </is>
      </c>
      <c r="G6" s="9" t="inlineStr">
        <is>
          <t>3x/semana (Ter/Qua/Qui), 2h cada — Confirmada</t>
        </is>
      </c>
    </row>
    <row r="7" ht="22" customHeight="1">
      <c r="B7" s="80" t="inlineStr">
        <is>
          <t>DH</t>
        </is>
      </c>
      <c r="C7" s="9" t="inlineStr">
        <is>
          <t>DH 1</t>
        </is>
      </c>
      <c r="D7" s="67" t="n">
        <v>46258</v>
      </c>
      <c r="E7" s="67" t="n">
        <v>46269</v>
      </c>
      <c r="F7" s="79" t="inlineStr">
        <is>
          <t>Sala 1</t>
        </is>
      </c>
      <c r="G7" s="9" t="inlineStr">
        <is>
          <t>Cadência Seg-Sex — Cenário B (referência desta versão)</t>
        </is>
      </c>
    </row>
    <row r="8" ht="22" customHeight="1">
      <c r="B8" s="80" t="inlineStr">
        <is>
          <t>DH</t>
        </is>
      </c>
      <c r="C8" s="9" t="inlineStr">
        <is>
          <t>DH 2</t>
        </is>
      </c>
      <c r="D8" s="67" t="n">
        <v>46258</v>
      </c>
      <c r="E8" s="67" t="n">
        <v>46269</v>
      </c>
      <c r="F8" s="79" t="inlineStr">
        <is>
          <t>Sala 2</t>
        </is>
      </c>
      <c r="G8" s="9" t="inlineStr">
        <is>
          <t>Cadência Seg-Sex — Cenário B (referência desta versão)</t>
        </is>
      </c>
    </row>
    <row r="9" ht="22" customHeight="1">
      <c r="B9" s="80" t="inlineStr">
        <is>
          <t>DH</t>
        </is>
      </c>
      <c r="C9" s="9" t="inlineStr">
        <is>
          <t>DH 3</t>
        </is>
      </c>
      <c r="D9" s="67" t="n">
        <v>46258</v>
      </c>
      <c r="E9" s="67" t="n">
        <v>46269</v>
      </c>
      <c r="F9" s="79" t="inlineStr">
        <is>
          <t>Sala 3</t>
        </is>
      </c>
      <c r="G9" s="9" t="inlineStr">
        <is>
          <t>Cadência Seg-Sex — Cenário B (referência desta versão)</t>
        </is>
      </c>
    </row>
    <row r="10" ht="22" customHeight="1">
      <c r="B10" s="81" t="inlineStr">
        <is>
          <t>REC</t>
        </is>
      </c>
      <c r="C10" s="9" t="inlineStr">
        <is>
          <t>Feriado: Independencia do Brasil</t>
        </is>
      </c>
      <c r="D10" s="67" t="n">
        <v>46272</v>
      </c>
      <c r="E10" s="67" t="n">
        <v>46272</v>
      </c>
      <c r="F10" s="79" t="inlineStr">
        <is>
          <t>—</t>
        </is>
      </c>
      <c r="G10" s="9" t="inlineStr">
        <is>
          <t>Confirmada (calendário municipal)</t>
        </is>
      </c>
    </row>
    <row r="11" ht="22" customHeight="1">
      <c r="B11" s="80" t="inlineStr">
        <is>
          <t>DH</t>
        </is>
      </c>
      <c r="C11" s="9" t="inlineStr">
        <is>
          <t>DH 4</t>
        </is>
      </c>
      <c r="D11" s="67" t="n">
        <v>46273</v>
      </c>
      <c r="E11" s="67" t="n">
        <v>46286</v>
      </c>
      <c r="F11" s="79" t="inlineStr">
        <is>
          <t>Sala 1</t>
        </is>
      </c>
      <c r="G11" s="9" t="inlineStr">
        <is>
          <t>Cadência Seg-Sex — Cenário B (referência desta versão)</t>
        </is>
      </c>
    </row>
    <row r="12" ht="22" customHeight="1">
      <c r="B12" s="80" t="inlineStr">
        <is>
          <t>DH</t>
        </is>
      </c>
      <c r="C12" s="9" t="inlineStr">
        <is>
          <t>DH 5</t>
        </is>
      </c>
      <c r="D12" s="67" t="n">
        <v>46273</v>
      </c>
      <c r="E12" s="67" t="n">
        <v>46286</v>
      </c>
      <c r="F12" s="79" t="inlineStr">
        <is>
          <t>Sala 2</t>
        </is>
      </c>
      <c r="G12" s="9" t="inlineStr">
        <is>
          <t>Cadência Seg-Sex — Cenário B (referência desta versão)</t>
        </is>
      </c>
    </row>
    <row r="13" ht="22" customHeight="1">
      <c r="B13" s="80" t="inlineStr">
        <is>
          <t>DH</t>
        </is>
      </c>
      <c r="C13" s="9" t="inlineStr">
        <is>
          <t>DH 6</t>
        </is>
      </c>
      <c r="D13" s="67" t="n">
        <v>46273</v>
      </c>
      <c r="E13" s="67" t="n">
        <v>46286</v>
      </c>
      <c r="F13" s="79" t="inlineStr">
        <is>
          <t>Sala 3</t>
        </is>
      </c>
      <c r="G13" s="9" t="inlineStr">
        <is>
          <t>Cadência Seg-Sex — Cenário B (referência desta versão)</t>
        </is>
      </c>
    </row>
    <row r="14" ht="22" customHeight="1">
      <c r="B14" s="82" t="inlineStr">
        <is>
          <t>OG</t>
        </is>
      </c>
      <c r="C14" s="9" t="inlineStr">
        <is>
          <t>OG 1</t>
        </is>
      </c>
      <c r="D14" s="67" t="n">
        <v>46276</v>
      </c>
      <c r="E14" s="67" t="n">
        <v>46279</v>
      </c>
      <c r="F14" s="79" t="inlineStr">
        <is>
          <t>Espaço OG 1 (ADICIONAL, não confirmado)</t>
        </is>
      </c>
      <c r="G14" s="9" t="inlineStr">
        <is>
          <t>Predecessora: DH 1 — Variante B1 (espaço ADICIONAL, NÃO confirmado; ver B2 na aba 07)</t>
        </is>
      </c>
    </row>
    <row r="15" ht="22" customHeight="1">
      <c r="B15" s="82" t="inlineStr">
        <is>
          <t>OG</t>
        </is>
      </c>
      <c r="C15" s="9" t="inlineStr">
        <is>
          <t>OG 2</t>
        </is>
      </c>
      <c r="D15" s="67" t="n">
        <v>46276</v>
      </c>
      <c r="E15" s="67" t="n">
        <v>46279</v>
      </c>
      <c r="F15" s="79" t="inlineStr">
        <is>
          <t>Espaço OG 2 (ADICIONAL, não confirmado)</t>
        </is>
      </c>
      <c r="G15" s="9" t="inlineStr">
        <is>
          <t>Predecessora: DH 2 — Variante B1 (espaço ADICIONAL, NÃO confirmado; ver B2 na aba 07)</t>
        </is>
      </c>
    </row>
    <row r="16" ht="22" customHeight="1">
      <c r="B16" s="82" t="inlineStr">
        <is>
          <t>OG</t>
        </is>
      </c>
      <c r="C16" s="9" t="inlineStr">
        <is>
          <t>OG 3</t>
        </is>
      </c>
      <c r="D16" s="67" t="n">
        <v>46276</v>
      </c>
      <c r="E16" s="67" t="n">
        <v>46279</v>
      </c>
      <c r="F16" s="79" t="inlineStr">
        <is>
          <t>Espaço OG 3 (ADICIONAL, não confirmado)</t>
        </is>
      </c>
      <c r="G16" s="9" t="inlineStr">
        <is>
          <t>Predecessora: DH 3 — Variante B1 (espaço ADICIONAL, NÃO confirmado; ver B2 na aba 07)</t>
        </is>
      </c>
    </row>
    <row r="17" ht="22" customHeight="1">
      <c r="B17" s="80" t="inlineStr">
        <is>
          <t>DH</t>
        </is>
      </c>
      <c r="C17" s="9" t="inlineStr">
        <is>
          <t>DH 7</t>
        </is>
      </c>
      <c r="D17" s="67" t="n">
        <v>46287</v>
      </c>
      <c r="E17" s="67" t="n">
        <v>46300</v>
      </c>
      <c r="F17" s="79" t="inlineStr">
        <is>
          <t>Sala 1</t>
        </is>
      </c>
      <c r="G17" s="9" t="inlineStr">
        <is>
          <t>Cadência Seg-Sex — Cenário B (referência desta versão)</t>
        </is>
      </c>
    </row>
    <row r="18" ht="22" customHeight="1">
      <c r="B18" s="80" t="inlineStr">
        <is>
          <t>DH</t>
        </is>
      </c>
      <c r="C18" s="9" t="inlineStr">
        <is>
          <t>DH 8</t>
        </is>
      </c>
      <c r="D18" s="67" t="n">
        <v>46287</v>
      </c>
      <c r="E18" s="67" t="n">
        <v>46300</v>
      </c>
      <c r="F18" s="79" t="inlineStr">
        <is>
          <t>Sala 2</t>
        </is>
      </c>
      <c r="G18" s="9" t="inlineStr">
        <is>
          <t>Cadência Seg-Sex — Cenário B (referência desta versão)</t>
        </is>
      </c>
    </row>
    <row r="19" ht="22" customHeight="1">
      <c r="B19" s="80" t="inlineStr">
        <is>
          <t>DH</t>
        </is>
      </c>
      <c r="C19" s="9" t="inlineStr">
        <is>
          <t>DH 9</t>
        </is>
      </c>
      <c r="D19" s="67" t="n">
        <v>46287</v>
      </c>
      <c r="E19" s="67" t="n">
        <v>46300</v>
      </c>
      <c r="F19" s="79" t="inlineStr">
        <is>
          <t>Sala 3</t>
        </is>
      </c>
      <c r="G19" s="9" t="inlineStr">
        <is>
          <t>Cadência Seg-Sex — Cenário B (referência desta versão)</t>
        </is>
      </c>
    </row>
    <row r="20" ht="22" customHeight="1">
      <c r="B20" s="82" t="inlineStr">
        <is>
          <t>OG</t>
        </is>
      </c>
      <c r="C20" s="9" t="inlineStr">
        <is>
          <t>OG 4</t>
        </is>
      </c>
      <c r="D20" s="67" t="n">
        <v>46293</v>
      </c>
      <c r="E20" s="67" t="n">
        <v>46294</v>
      </c>
      <c r="F20" s="79" t="inlineStr">
        <is>
          <t>Espaço OG 1 (ADICIONAL, não confirmado)</t>
        </is>
      </c>
      <c r="G20" s="9" t="inlineStr">
        <is>
          <t>Predecessora: DH 4 — Variante B1 (espaço ADICIONAL, NÃO confirmado; ver B2 na aba 07)</t>
        </is>
      </c>
    </row>
    <row r="21" ht="22" customHeight="1">
      <c r="B21" s="82" t="inlineStr">
        <is>
          <t>OG</t>
        </is>
      </c>
      <c r="C21" s="9" t="inlineStr">
        <is>
          <t>OG 5</t>
        </is>
      </c>
      <c r="D21" s="67" t="n">
        <v>46293</v>
      </c>
      <c r="E21" s="67" t="n">
        <v>46294</v>
      </c>
      <c r="F21" s="79" t="inlineStr">
        <is>
          <t>Espaço OG 2 (ADICIONAL, não confirmado)</t>
        </is>
      </c>
      <c r="G21" s="9" t="inlineStr">
        <is>
          <t>Predecessora: DH 5 — Variante B1 (espaço ADICIONAL, NÃO confirmado; ver B2 na aba 07)</t>
        </is>
      </c>
    </row>
    <row r="22" ht="22" customHeight="1">
      <c r="B22" s="82" t="inlineStr">
        <is>
          <t>OG</t>
        </is>
      </c>
      <c r="C22" s="9" t="inlineStr">
        <is>
          <t>OG 6</t>
        </is>
      </c>
      <c r="D22" s="67" t="n">
        <v>46293</v>
      </c>
      <c r="E22" s="67" t="n">
        <v>46294</v>
      </c>
      <c r="F22" s="79" t="inlineStr">
        <is>
          <t>Espaço OG 3 (ADICIONAL, não confirmado)</t>
        </is>
      </c>
      <c r="G22" s="9" t="inlineStr">
        <is>
          <t>Predecessora: DH 6 — Variante B1 (espaço ADICIONAL, NÃO confirmado; ver B2 na aba 07)</t>
        </is>
      </c>
    </row>
    <row r="23" ht="22" customHeight="1">
      <c r="B23" s="83" t="inlineStr">
        <is>
          <t>CT</t>
        </is>
      </c>
      <c r="C23" s="9" t="inlineStr">
        <is>
          <t>CT1a — Corte e Costura</t>
        </is>
      </c>
      <c r="D23" s="67" t="n">
        <v>46293</v>
      </c>
      <c r="E23" s="67" t="n">
        <v>46302</v>
      </c>
      <c r="F23" s="79" t="inlineStr">
        <is>
          <t>Fundo Social / SENAI</t>
        </is>
      </c>
      <c r="G23" s="9" t="inlineStr">
        <is>
          <t>Data proposta para simulação — pendente de quórum, contratação e validação do fornecedor</t>
        </is>
      </c>
    </row>
    <row r="24" ht="22" customHeight="1">
      <c r="B24" s="83" t="inlineStr">
        <is>
          <t>CT</t>
        </is>
      </c>
      <c r="C24" s="9" t="inlineStr">
        <is>
          <t>CT7a — Eletrica</t>
        </is>
      </c>
      <c r="D24" s="67" t="n">
        <v>46293</v>
      </c>
      <c r="E24" s="67" t="n">
        <v>46321</v>
      </c>
      <c r="F24" s="79" t="inlineStr">
        <is>
          <t>SENAI Paulinia</t>
        </is>
      </c>
      <c r="G24" s="9" t="inlineStr">
        <is>
          <t>Data proposta para simulação — pendente de quórum, contratação e validação do fornecedor</t>
        </is>
      </c>
    </row>
    <row r="25" ht="22" customHeight="1">
      <c r="B25" s="83" t="inlineStr">
        <is>
          <t>CT</t>
        </is>
      </c>
      <c r="C25" s="9" t="inlineStr">
        <is>
          <t>CT2 — Jardinagem</t>
        </is>
      </c>
      <c r="D25" s="67" t="n">
        <v>46293</v>
      </c>
      <c r="E25" s="67" t="n">
        <v>46304</v>
      </c>
      <c r="F25" s="79" t="inlineStr">
        <is>
          <t>? (fornecedor nao confirmado)</t>
        </is>
      </c>
      <c r="G25" s="9" t="inlineStr">
        <is>
          <t>Data proposta para simulação — pendente de quórum, contratação e validação do fornecedor</t>
        </is>
      </c>
    </row>
    <row r="26" ht="22" customHeight="1">
      <c r="B26" s="80" t="inlineStr">
        <is>
          <t>DH</t>
        </is>
      </c>
      <c r="C26" s="9" t="inlineStr">
        <is>
          <t>DH 10</t>
        </is>
      </c>
      <c r="D26" s="67" t="n">
        <v>46301</v>
      </c>
      <c r="E26" s="67" t="n">
        <v>46315</v>
      </c>
      <c r="F26" s="79" t="inlineStr">
        <is>
          <t>Sala 1</t>
        </is>
      </c>
      <c r="G26" s="9" t="inlineStr">
        <is>
          <t>Cadência Seg-Sex — Cenário B (referência desta versão)</t>
        </is>
      </c>
    </row>
    <row r="27" ht="22" customHeight="1">
      <c r="B27" s="80" t="inlineStr">
        <is>
          <t>DH</t>
        </is>
      </c>
      <c r="C27" s="9" t="inlineStr">
        <is>
          <t>DH 11</t>
        </is>
      </c>
      <c r="D27" s="67" t="n">
        <v>46301</v>
      </c>
      <c r="E27" s="67" t="n">
        <v>46315</v>
      </c>
      <c r="F27" s="79" t="inlineStr">
        <is>
          <t>Sala 2</t>
        </is>
      </c>
      <c r="G27" s="9" t="inlineStr">
        <is>
          <t>Cadência Seg-Sex — Cenário B (referência desta versão)</t>
        </is>
      </c>
    </row>
    <row r="28" ht="22" customHeight="1">
      <c r="B28" s="80" t="inlineStr">
        <is>
          <t>DH</t>
        </is>
      </c>
      <c r="C28" s="9" t="inlineStr">
        <is>
          <t>DH 12</t>
        </is>
      </c>
      <c r="D28" s="67" t="n">
        <v>46301</v>
      </c>
      <c r="E28" s="67" t="n">
        <v>46315</v>
      </c>
      <c r="F28" s="79" t="inlineStr">
        <is>
          <t>Sala 3</t>
        </is>
      </c>
      <c r="G28" s="9" t="inlineStr">
        <is>
          <t>Cadência Seg-Sex — Cenário B (referência desta versão)</t>
        </is>
      </c>
    </row>
    <row r="29" ht="22" customHeight="1">
      <c r="B29" s="84" t="inlineStr">
        <is>
          <t>EAD</t>
        </is>
      </c>
      <c r="C29" s="9" t="inlineStr">
        <is>
          <t>Curso EAD — Planejamento, Marketing e Finanças</t>
        </is>
      </c>
      <c r="D29" s="67" t="n">
        <v>46303</v>
      </c>
      <c r="E29" s="67" t="n">
        <v>46308</v>
      </c>
      <c r="F29" s="79" t="inlineStr">
        <is>
          <t>Plataforma online</t>
        </is>
      </c>
      <c r="G29" s="9" t="inlineStr">
        <is>
          <t>6h / 3 módulos, autoinstrucional</t>
        </is>
      </c>
    </row>
    <row r="30" ht="22" customHeight="1">
      <c r="B30" s="81" t="inlineStr">
        <is>
          <t>REC</t>
        </is>
      </c>
      <c r="C30" s="9" t="inlineStr">
        <is>
          <t>Feriado: Nossa Senhora Aparecida</t>
        </is>
      </c>
      <c r="D30" s="67" t="n">
        <v>46307</v>
      </c>
      <c r="E30" s="67" t="n">
        <v>46307</v>
      </c>
      <c r="F30" s="79" t="inlineStr">
        <is>
          <t>—</t>
        </is>
      </c>
      <c r="G30" s="9" t="inlineStr">
        <is>
          <t>Confirmada (calendário municipal)</t>
        </is>
      </c>
    </row>
    <row r="31" ht="22" customHeight="1">
      <c r="B31" s="82" t="inlineStr">
        <is>
          <t>OG</t>
        </is>
      </c>
      <c r="C31" s="9" t="inlineStr">
        <is>
          <t>OG 7</t>
        </is>
      </c>
      <c r="D31" s="67" t="n">
        <v>46308</v>
      </c>
      <c r="E31" s="67" t="n">
        <v>46309</v>
      </c>
      <c r="F31" s="79" t="inlineStr">
        <is>
          <t>Espaço OG 1 (ADICIONAL, não confirmado)</t>
        </is>
      </c>
      <c r="G31" s="9" t="inlineStr">
        <is>
          <t>Predecessora: DH 7 — Variante B1 (espaço ADICIONAL, NÃO confirmado; ver B2 na aba 07)</t>
        </is>
      </c>
    </row>
    <row r="32" ht="22" customHeight="1">
      <c r="B32" s="82" t="inlineStr">
        <is>
          <t>OG</t>
        </is>
      </c>
      <c r="C32" s="9" t="inlineStr">
        <is>
          <t>OG 8</t>
        </is>
      </c>
      <c r="D32" s="67" t="n">
        <v>46308</v>
      </c>
      <c r="E32" s="67" t="n">
        <v>46309</v>
      </c>
      <c r="F32" s="79" t="inlineStr">
        <is>
          <t>Espaço OG 2 (ADICIONAL, não confirmado)</t>
        </is>
      </c>
      <c r="G32" s="9" t="inlineStr">
        <is>
          <t>Predecessora: DH 8 — Variante B1 (espaço ADICIONAL, NÃO confirmado; ver B2 na aba 07)</t>
        </is>
      </c>
    </row>
    <row r="33" ht="22" customHeight="1">
      <c r="B33" s="82" t="inlineStr">
        <is>
          <t>OG</t>
        </is>
      </c>
      <c r="C33" s="9" t="inlineStr">
        <is>
          <t>OG 9</t>
        </is>
      </c>
      <c r="D33" s="67" t="n">
        <v>46308</v>
      </c>
      <c r="E33" s="67" t="n">
        <v>46309</v>
      </c>
      <c r="F33" s="79" t="inlineStr">
        <is>
          <t>Espaço OG 3 (ADICIONAL, não confirmado)</t>
        </is>
      </c>
      <c r="G33" s="9" t="inlineStr">
        <is>
          <t>Predecessora: DH 9 — Variante B1 (espaço ADICIONAL, NÃO confirmado; ver B2 na aba 07)</t>
        </is>
      </c>
    </row>
    <row r="34" ht="22" customHeight="1">
      <c r="B34" s="83" t="inlineStr">
        <is>
          <t>CT</t>
        </is>
      </c>
      <c r="C34" s="9" t="inlineStr">
        <is>
          <t>CT1b — Corte e Costura</t>
        </is>
      </c>
      <c r="D34" s="67" t="n">
        <v>46308</v>
      </c>
      <c r="E34" s="67" t="n">
        <v>46317</v>
      </c>
      <c r="F34" s="79" t="inlineStr">
        <is>
          <t>Fundo Social / SENAI</t>
        </is>
      </c>
      <c r="G34" s="9" t="inlineStr">
        <is>
          <t>Data proposta para simulação — pendente de quórum, contratação e validação do fornecedor</t>
        </is>
      </c>
    </row>
    <row r="35" ht="22" customHeight="1">
      <c r="B35" s="85" t="inlineStr">
        <is>
          <t>CI</t>
        </is>
      </c>
      <c r="C35" s="9" t="inlineStr">
        <is>
          <t>Consultoria Individual (rolling, capacidade calculada na aba 15)</t>
        </is>
      </c>
      <c r="D35" s="67" t="n">
        <v>46309</v>
      </c>
      <c r="E35" s="67" t="n">
        <v>46393</v>
      </c>
      <c r="F35" s="79" t="inlineStr">
        <is>
          <t>Presencial/Online</t>
        </is>
      </c>
      <c r="G35" s="9" t="inlineStr">
        <is>
          <t>Meta 150 pessoas x 3 atend. — estimativa com parâmetros padrão (ver aba 15)</t>
        </is>
      </c>
    </row>
    <row r="36" ht="22" customHeight="1">
      <c r="B36" s="80" t="inlineStr">
        <is>
          <t>DH</t>
        </is>
      </c>
      <c r="C36" s="9" t="inlineStr">
        <is>
          <t>DH 13</t>
        </is>
      </c>
      <c r="D36" s="67" t="n">
        <v>46316</v>
      </c>
      <c r="E36" s="67" t="n">
        <v>46330</v>
      </c>
      <c r="F36" s="79" t="inlineStr">
        <is>
          <t>Sala 1</t>
        </is>
      </c>
      <c r="G36" s="9" t="inlineStr">
        <is>
          <t>Cadência Seg-Sex — Cenário B (referência desta versão)</t>
        </is>
      </c>
    </row>
    <row r="37" ht="22" customHeight="1">
      <c r="B37" s="80" t="inlineStr">
        <is>
          <t>DH</t>
        </is>
      </c>
      <c r="C37" s="9" t="inlineStr">
        <is>
          <t>DH 14</t>
        </is>
      </c>
      <c r="D37" s="67" t="n">
        <v>46316</v>
      </c>
      <c r="E37" s="67" t="n">
        <v>46330</v>
      </c>
      <c r="F37" s="79" t="inlineStr">
        <is>
          <t>Sala 2</t>
        </is>
      </c>
      <c r="G37" s="9" t="inlineStr">
        <is>
          <t>Cadência Seg-Sex — Cenário B (referência desta versão)</t>
        </is>
      </c>
    </row>
    <row r="38" ht="22" customHeight="1">
      <c r="B38" s="80" t="inlineStr">
        <is>
          <t>DH</t>
        </is>
      </c>
      <c r="C38" s="9" t="inlineStr">
        <is>
          <t>DH 15</t>
        </is>
      </c>
      <c r="D38" s="67" t="n">
        <v>46316</v>
      </c>
      <c r="E38" s="67" t="n">
        <v>46330</v>
      </c>
      <c r="F38" s="79" t="inlineStr">
        <is>
          <t>Sala 3</t>
        </is>
      </c>
      <c r="G38" s="9" t="inlineStr">
        <is>
          <t>Cadência Seg-Sex — Cenário B (referência desta versão)</t>
        </is>
      </c>
    </row>
    <row r="39" ht="22" customHeight="1">
      <c r="B39" s="83" t="inlineStr">
        <is>
          <t>CT</t>
        </is>
      </c>
      <c r="C39" s="9" t="inlineStr">
        <is>
          <t>CT3 — Beleza / Unhas</t>
        </is>
      </c>
      <c r="D39" s="67" t="n">
        <v>46321</v>
      </c>
      <c r="E39" s="67" t="n">
        <v>46335</v>
      </c>
      <c r="F39" s="79" t="inlineStr">
        <is>
          <t>Fundo Social / SENAC</t>
        </is>
      </c>
      <c r="G39" s="9" t="inlineStr">
        <is>
          <t>Data proposta para simulação — pendente de quórum, contratação e validação do fornecedor</t>
        </is>
      </c>
    </row>
    <row r="40" ht="22" customHeight="1">
      <c r="B40" s="82" t="inlineStr">
        <is>
          <t>OG</t>
        </is>
      </c>
      <c r="C40" s="9" t="inlineStr">
        <is>
          <t>OG 10</t>
        </is>
      </c>
      <c r="D40" s="67" t="n">
        <v>46322</v>
      </c>
      <c r="E40" s="67" t="n">
        <v>46323</v>
      </c>
      <c r="F40" s="79" t="inlineStr">
        <is>
          <t>Espaço OG 1 (ADICIONAL, não confirmado)</t>
        </is>
      </c>
      <c r="G40" s="9" t="inlineStr">
        <is>
          <t>Predecessora: DH 10 — Variante B1 (espaço ADICIONAL, NÃO confirmado; ver B2 na aba 07)</t>
        </is>
      </c>
    </row>
    <row r="41" ht="22" customHeight="1">
      <c r="B41" s="82" t="inlineStr">
        <is>
          <t>OG</t>
        </is>
      </c>
      <c r="C41" s="9" t="inlineStr">
        <is>
          <t>OG 11</t>
        </is>
      </c>
      <c r="D41" s="67" t="n">
        <v>46322</v>
      </c>
      <c r="E41" s="67" t="n">
        <v>46323</v>
      </c>
      <c r="F41" s="79" t="inlineStr">
        <is>
          <t>Espaço OG 2 (ADICIONAL, não confirmado)</t>
        </is>
      </c>
      <c r="G41" s="9" t="inlineStr">
        <is>
          <t>Predecessora: DH 11 — Variante B1 (espaço ADICIONAL, NÃO confirmado; ver B2 na aba 07)</t>
        </is>
      </c>
    </row>
    <row r="42" ht="22" customHeight="1">
      <c r="B42" s="82" t="inlineStr">
        <is>
          <t>OG</t>
        </is>
      </c>
      <c r="C42" s="9" t="inlineStr">
        <is>
          <t>OG 12</t>
        </is>
      </c>
      <c r="D42" s="67" t="n">
        <v>46322</v>
      </c>
      <c r="E42" s="67" t="n">
        <v>46323</v>
      </c>
      <c r="F42" s="79" t="inlineStr">
        <is>
          <t>Espaço OG 3 (ADICIONAL, não confirmado)</t>
        </is>
      </c>
      <c r="G42" s="9" t="inlineStr">
        <is>
          <t>Predecessora: DH 12 — Variante B1 (espaço ADICIONAL, NÃO confirmado; ver B2 na aba 07)</t>
        </is>
      </c>
    </row>
    <row r="43" ht="22" customHeight="1">
      <c r="B43" s="83" t="inlineStr">
        <is>
          <t>CT</t>
        </is>
      </c>
      <c r="C43" s="9" t="inlineStr">
        <is>
          <t>CT7b — Eletrica</t>
        </is>
      </c>
      <c r="D43" s="67" t="n">
        <v>46324</v>
      </c>
      <c r="E43" s="67" t="n">
        <v>46353</v>
      </c>
      <c r="F43" s="79" t="inlineStr">
        <is>
          <t>SENAI Paulinia</t>
        </is>
      </c>
      <c r="G43" s="9" t="inlineStr">
        <is>
          <t>Data proposta para simulação — pendente de quórum, contratação e validação do fornecedor</t>
        </is>
      </c>
    </row>
    <row r="44" ht="22" customHeight="1">
      <c r="B44" s="81" t="inlineStr">
        <is>
          <t>REC</t>
        </is>
      </c>
      <c r="C44" s="9" t="inlineStr">
        <is>
          <t>Feriado: Finados</t>
        </is>
      </c>
      <c r="D44" s="67" t="n">
        <v>46328</v>
      </c>
      <c r="E44" s="67" t="n">
        <v>46328</v>
      </c>
      <c r="F44" s="79" t="inlineStr">
        <is>
          <t>—</t>
        </is>
      </c>
      <c r="G44" s="9" t="inlineStr">
        <is>
          <t>Confirmada (calendário municipal)</t>
        </is>
      </c>
    </row>
    <row r="45" ht="22" customHeight="1">
      <c r="B45" s="82" t="inlineStr">
        <is>
          <t>OG</t>
        </is>
      </c>
      <c r="C45" s="9" t="inlineStr">
        <is>
          <t>OG 13</t>
        </is>
      </c>
      <c r="D45" s="67" t="n">
        <v>46337</v>
      </c>
      <c r="E45" s="67" t="n">
        <v>46338</v>
      </c>
      <c r="F45" s="79" t="inlineStr">
        <is>
          <t>Espaço OG 1 (ADICIONAL, não confirmado)</t>
        </is>
      </c>
      <c r="G45" s="9" t="inlineStr">
        <is>
          <t>Predecessora: DH 13 — Variante B1 (espaço ADICIONAL, NÃO confirmado; ver B2 na aba 07)</t>
        </is>
      </c>
    </row>
    <row r="46" ht="22" customHeight="1">
      <c r="B46" s="82" t="inlineStr">
        <is>
          <t>OG</t>
        </is>
      </c>
      <c r="C46" s="9" t="inlineStr">
        <is>
          <t>OG 14</t>
        </is>
      </c>
      <c r="D46" s="67" t="n">
        <v>46337</v>
      </c>
      <c r="E46" s="67" t="n">
        <v>46338</v>
      </c>
      <c r="F46" s="79" t="inlineStr">
        <is>
          <t>Espaço OG 2 (ADICIONAL, não confirmado)</t>
        </is>
      </c>
      <c r="G46" s="9" t="inlineStr">
        <is>
          <t>Predecessora: DH 14 — Variante B1 (espaço ADICIONAL, NÃO confirmado; ver B2 na aba 07)</t>
        </is>
      </c>
    </row>
    <row r="47" ht="22" customHeight="1">
      <c r="B47" s="82" t="inlineStr">
        <is>
          <t>OG</t>
        </is>
      </c>
      <c r="C47" s="9" t="inlineStr">
        <is>
          <t>OG 15</t>
        </is>
      </c>
      <c r="D47" s="67" t="n">
        <v>46337</v>
      </c>
      <c r="E47" s="67" t="n">
        <v>46338</v>
      </c>
      <c r="F47" s="79" t="inlineStr">
        <is>
          <t>Espaço OG 3 (ADICIONAL, não confirmado)</t>
        </is>
      </c>
      <c r="G47" s="9" t="inlineStr">
        <is>
          <t>Predecessora: DH 15 — Variante B1 (espaço ADICIONAL, NÃO confirmado; ver B2 na aba 07)</t>
        </is>
      </c>
    </row>
    <row r="48" ht="22" customHeight="1">
      <c r="B48" s="83" t="inlineStr">
        <is>
          <t>CT</t>
        </is>
      </c>
      <c r="C48" s="9" t="inlineStr">
        <is>
          <t>CT5 — Beleza / Cabelos Cacheados e Crespos</t>
        </is>
      </c>
      <c r="D48" s="67" t="n">
        <v>46338</v>
      </c>
      <c r="E48" s="67" t="n">
        <v>46358</v>
      </c>
      <c r="F48" s="79" t="inlineStr">
        <is>
          <t>Fundo Social / SENAC</t>
        </is>
      </c>
      <c r="G48" s="9" t="inlineStr">
        <is>
          <t>Data proposta para simulação — pendente de quórum, contratação e validação do fornecedor</t>
        </is>
      </c>
    </row>
    <row r="49" ht="22" customHeight="1">
      <c r="B49" s="81" t="inlineStr">
        <is>
          <t>REC</t>
        </is>
      </c>
      <c r="C49" s="9" t="inlineStr">
        <is>
          <t>Feriado: Consciencia Negra</t>
        </is>
      </c>
      <c r="D49" s="67" t="n">
        <v>46346</v>
      </c>
      <c r="E49" s="67" t="n">
        <v>46346</v>
      </c>
      <c r="F49" s="79" t="inlineStr">
        <is>
          <t>—</t>
        </is>
      </c>
      <c r="G49" s="9" t="inlineStr">
        <is>
          <t>Confirmada (calendário municipal)</t>
        </is>
      </c>
    </row>
    <row r="50" ht="22" customHeight="1">
      <c r="B50" s="83" t="inlineStr">
        <is>
          <t>CT</t>
        </is>
      </c>
      <c r="C50" s="9" t="inlineStr">
        <is>
          <t>CT6 — Automacao</t>
        </is>
      </c>
      <c r="D50" s="67" t="n">
        <v>46356</v>
      </c>
      <c r="E50" s="67" t="n">
        <v>46402</v>
      </c>
      <c r="F50" s="79" t="inlineStr">
        <is>
          <t>SENAI Paulinia</t>
        </is>
      </c>
      <c r="G50" s="9" t="inlineStr">
        <is>
          <t>Data proposta para simulação — pendente de quórum, contratação e validação do fornecedor</t>
        </is>
      </c>
    </row>
    <row r="51" ht="22" customHeight="1">
      <c r="B51" s="83" t="inlineStr">
        <is>
          <t>CT</t>
        </is>
      </c>
      <c r="C51" s="9" t="inlineStr">
        <is>
          <t>CT4a — Preparacao de Alimentos</t>
        </is>
      </c>
      <c r="D51" s="67" t="n">
        <v>46363</v>
      </c>
      <c r="E51" s="67" t="n">
        <v>46401</v>
      </c>
      <c r="F51" s="79" t="inlineStr">
        <is>
          <t>Fundo Social / SENAC</t>
        </is>
      </c>
      <c r="G51" s="9" t="inlineStr">
        <is>
          <t>Data proposta para simulação — pendente de quórum, contratação e validação do fornecedor</t>
        </is>
      </c>
    </row>
    <row r="52" ht="22" customHeight="1">
      <c r="B52" s="81" t="inlineStr">
        <is>
          <t>REC</t>
        </is>
      </c>
      <c r="C52" s="9" t="inlineStr">
        <is>
          <t>Recesso institucional</t>
        </is>
      </c>
      <c r="D52" s="67" t="n">
        <v>46377</v>
      </c>
      <c r="E52" s="67" t="n">
        <v>46395</v>
      </c>
      <c r="F52" s="79" t="inlineStr">
        <is>
          <t>—</t>
        </is>
      </c>
      <c r="G52" s="9" t="inlineStr">
        <is>
          <t>Informação pendente de validação</t>
        </is>
      </c>
    </row>
    <row r="53" ht="22" customHeight="1">
      <c r="B53" s="81" t="inlineStr">
        <is>
          <t>REC</t>
        </is>
      </c>
      <c r="C53" s="9" t="inlineStr">
        <is>
          <t>Feriado: Natal</t>
        </is>
      </c>
      <c r="D53" s="67" t="n">
        <v>46381</v>
      </c>
      <c r="E53" s="67" t="n">
        <v>46381</v>
      </c>
      <c r="F53" s="79" t="inlineStr">
        <is>
          <t>—</t>
        </is>
      </c>
      <c r="G53" s="9" t="inlineStr">
        <is>
          <t>Confirmada (calendário municipal)</t>
        </is>
      </c>
    </row>
    <row r="54" ht="22" customHeight="1">
      <c r="B54" s="81" t="inlineStr">
        <is>
          <t>REC</t>
        </is>
      </c>
      <c r="C54" s="9" t="inlineStr">
        <is>
          <t>Feriado: Confraternizacao Universal</t>
        </is>
      </c>
      <c r="D54" s="67" t="n">
        <v>46388</v>
      </c>
      <c r="E54" s="67" t="n">
        <v>46388</v>
      </c>
      <c r="F54" s="79" t="inlineStr">
        <is>
          <t>—</t>
        </is>
      </c>
      <c r="G54" s="9" t="inlineStr">
        <is>
          <t>Confirmada (calendário municipal)</t>
        </is>
      </c>
    </row>
    <row r="55" ht="22" customHeight="1">
      <c r="B55" s="83" t="inlineStr">
        <is>
          <t>CT</t>
        </is>
      </c>
      <c r="C55" s="9" t="inlineStr">
        <is>
          <t>CT4b — Preparacao de Alimentos</t>
        </is>
      </c>
      <c r="D55" s="67" t="n">
        <v>46405</v>
      </c>
      <c r="E55" s="67" t="n">
        <v>46422</v>
      </c>
      <c r="F55" s="79" t="inlineStr">
        <is>
          <t>Fundo Social / SENAC</t>
        </is>
      </c>
      <c r="G55" s="9" t="inlineStr">
        <is>
          <t>Data proposta para simulação — pendente de quórum, contratação e validação do fornecedor</t>
        </is>
      </c>
    </row>
    <row r="57">
      <c r="B57" s="3" t="inlineStr">
        <is>
          <t>LEGENDA</t>
        </is>
      </c>
    </row>
    <row r="58">
      <c r="B58" s="44" t="inlineStr"/>
      <c r="C58" s="45" t="inlineStr">
        <is>
          <t>PS - Palestra de Sensibilização</t>
        </is>
      </c>
    </row>
    <row r="59">
      <c r="B59" s="46" t="inlineStr"/>
      <c r="C59" s="45" t="inlineStr">
        <is>
          <t>DH - Desenvolvimento Humano</t>
        </is>
      </c>
    </row>
    <row r="60">
      <c r="B60" s="47" t="inlineStr"/>
      <c r="C60" s="45" t="inlineStr">
        <is>
          <t>OG - Oficina de Gestão</t>
        </is>
      </c>
    </row>
    <row r="61">
      <c r="B61" s="48" t="inlineStr"/>
      <c r="C61" s="45" t="inlineStr">
        <is>
          <t>CT - Curso Técnico</t>
        </is>
      </c>
    </row>
    <row r="62">
      <c r="B62" s="49" t="inlineStr"/>
      <c r="C62" s="45" t="inlineStr">
        <is>
          <t>EAD - Curso Online</t>
        </is>
      </c>
    </row>
    <row r="63">
      <c r="B63" s="50" t="inlineStr"/>
      <c r="C63" s="45" t="inlineStr">
        <is>
          <t>CI - Consultoria Individual</t>
        </is>
      </c>
    </row>
    <row r="64">
      <c r="B64" s="51" t="inlineStr"/>
      <c r="C64" s="45" t="inlineStr">
        <is>
          <t>REC - Recesso / feriado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395"/>
    <outlinePr summaryBelow="1" summaryRight="1"/>
    <pageSetUpPr/>
  </sheetPr>
  <dimension ref="B2:I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30" customWidth="1" min="8" max="8"/>
    <col width="3" customWidth="1" min="9" max="9"/>
  </cols>
  <sheetData>
    <row r="2" ht="28" customHeight="1">
      <c r="B2" s="1" t="inlineStr">
        <is>
          <t>AGENDA POR SALA — SEM SOBREPOSIÇÃO CONFIRMADA (checagem dia a dia por cadência real)</t>
        </is>
      </c>
    </row>
    <row r="3">
      <c r="B3" s="2" t="inlineStr">
        <is>
          <t>Cenário B: 3 salas de DH. Duas variantes de OG mostradas lado a lado (B1: espaço adicional NÃO confirmado; B2: mesmas salas do DH).</t>
        </is>
      </c>
    </row>
    <row r="5">
      <c r="B5" s="17" t="inlineStr">
        <is>
          <t>SALAS DE DH</t>
        </is>
      </c>
    </row>
    <row r="6" ht="30" customHeight="1">
      <c r="B6" s="27" t="inlineStr">
        <is>
          <t>Sala</t>
        </is>
      </c>
      <c r="C6" s="27" t="inlineStr">
        <is>
          <t>Turma</t>
        </is>
      </c>
      <c r="D6" s="27" t="inlineStr">
        <is>
          <t>Tipo</t>
        </is>
      </c>
      <c r="E6" s="27" t="inlineStr">
        <is>
          <t>Início</t>
        </is>
      </c>
      <c r="F6" s="27" t="inlineStr">
        <is>
          <t>Término</t>
        </is>
      </c>
      <c r="G6" s="27" t="inlineStr">
        <is>
          <t>Cadência</t>
        </is>
      </c>
      <c r="H6" s="27" t="inlineStr">
        <is>
          <t>Conflito de horário?</t>
        </is>
      </c>
      <c r="I6" s="27" t="inlineStr">
        <is>
          <t>Observação</t>
        </is>
      </c>
    </row>
    <row r="7" ht="18" customHeight="1">
      <c r="B7" s="86" t="inlineStr">
        <is>
          <t>Sala 1</t>
        </is>
      </c>
      <c r="C7" s="25" t="inlineStr">
        <is>
          <t>DH 1</t>
        </is>
      </c>
      <c r="D7" s="87" t="inlineStr">
        <is>
          <t>DH</t>
        </is>
      </c>
      <c r="E7" s="67" t="n">
        <v>46258</v>
      </c>
      <c r="F7" s="67" t="n">
        <v>46269</v>
      </c>
      <c r="G7" s="25" t="inlineStr">
        <is>
          <t>Seg-Sex</t>
        </is>
      </c>
      <c r="H7" s="20" t="inlineStr">
        <is>
          <t>Não (verificado dia a dia por cadência)</t>
        </is>
      </c>
    </row>
    <row r="8" ht="18" customHeight="1">
      <c r="B8" s="86" t="inlineStr">
        <is>
          <t>Sala 2</t>
        </is>
      </c>
      <c r="C8" s="25" t="inlineStr">
        <is>
          <t>DH 2</t>
        </is>
      </c>
      <c r="D8" s="87" t="inlineStr">
        <is>
          <t>DH</t>
        </is>
      </c>
      <c r="E8" s="67" t="n">
        <v>46258</v>
      </c>
      <c r="F8" s="67" t="n">
        <v>46269</v>
      </c>
      <c r="G8" s="25" t="inlineStr">
        <is>
          <t>Seg-Sex</t>
        </is>
      </c>
      <c r="H8" s="20" t="inlineStr">
        <is>
          <t>Não (verificado dia a dia por cadência)</t>
        </is>
      </c>
    </row>
    <row r="9" ht="18" customHeight="1">
      <c r="B9" s="86" t="inlineStr">
        <is>
          <t>Sala 3</t>
        </is>
      </c>
      <c r="C9" s="25" t="inlineStr">
        <is>
          <t>DH 3</t>
        </is>
      </c>
      <c r="D9" s="87" t="inlineStr">
        <is>
          <t>DH</t>
        </is>
      </c>
      <c r="E9" s="67" t="n">
        <v>46258</v>
      </c>
      <c r="F9" s="67" t="n">
        <v>46269</v>
      </c>
      <c r="G9" s="25" t="inlineStr">
        <is>
          <t>Seg-Sex</t>
        </is>
      </c>
      <c r="H9" s="20" t="inlineStr">
        <is>
          <t>Não (verificado dia a dia por cadência)</t>
        </is>
      </c>
    </row>
    <row r="10" ht="18" customHeight="1">
      <c r="B10" s="86" t="inlineStr">
        <is>
          <t>Sala 1</t>
        </is>
      </c>
      <c r="C10" s="25" t="inlineStr">
        <is>
          <t>DH 4</t>
        </is>
      </c>
      <c r="D10" s="87" t="inlineStr">
        <is>
          <t>DH</t>
        </is>
      </c>
      <c r="E10" s="67" t="n">
        <v>46273</v>
      </c>
      <c r="F10" s="67" t="n">
        <v>46286</v>
      </c>
      <c r="G10" s="25" t="inlineStr">
        <is>
          <t>Seg-Sex</t>
        </is>
      </c>
      <c r="H10" s="20" t="inlineStr">
        <is>
          <t>Não (verificado dia a dia por cadência)</t>
        </is>
      </c>
    </row>
    <row r="11" ht="18" customHeight="1">
      <c r="B11" s="86" t="inlineStr">
        <is>
          <t>Sala 2</t>
        </is>
      </c>
      <c r="C11" s="25" t="inlineStr">
        <is>
          <t>DH 5</t>
        </is>
      </c>
      <c r="D11" s="87" t="inlineStr">
        <is>
          <t>DH</t>
        </is>
      </c>
      <c r="E11" s="67" t="n">
        <v>46273</v>
      </c>
      <c r="F11" s="67" t="n">
        <v>46286</v>
      </c>
      <c r="G11" s="25" t="inlineStr">
        <is>
          <t>Seg-Sex</t>
        </is>
      </c>
      <c r="H11" s="20" t="inlineStr">
        <is>
          <t>Não (verificado dia a dia por cadência)</t>
        </is>
      </c>
    </row>
    <row r="12" ht="18" customHeight="1">
      <c r="B12" s="86" t="inlineStr">
        <is>
          <t>Sala 3</t>
        </is>
      </c>
      <c r="C12" s="25" t="inlineStr">
        <is>
          <t>DH 6</t>
        </is>
      </c>
      <c r="D12" s="87" t="inlineStr">
        <is>
          <t>DH</t>
        </is>
      </c>
      <c r="E12" s="67" t="n">
        <v>46273</v>
      </c>
      <c r="F12" s="67" t="n">
        <v>46286</v>
      </c>
      <c r="G12" s="25" t="inlineStr">
        <is>
          <t>Seg-Sex</t>
        </is>
      </c>
      <c r="H12" s="20" t="inlineStr">
        <is>
          <t>Não (verificado dia a dia por cadência)</t>
        </is>
      </c>
    </row>
    <row r="13" ht="18" customHeight="1">
      <c r="B13" s="86" t="inlineStr">
        <is>
          <t>Sala 1</t>
        </is>
      </c>
      <c r="C13" s="25" t="inlineStr">
        <is>
          <t>DH 7</t>
        </is>
      </c>
      <c r="D13" s="87" t="inlineStr">
        <is>
          <t>DH</t>
        </is>
      </c>
      <c r="E13" s="67" t="n">
        <v>46287</v>
      </c>
      <c r="F13" s="67" t="n">
        <v>46300</v>
      </c>
      <c r="G13" s="25" t="inlineStr">
        <is>
          <t>Seg-Sex</t>
        </is>
      </c>
      <c r="H13" s="20" t="inlineStr">
        <is>
          <t>Não (verificado dia a dia por cadência)</t>
        </is>
      </c>
    </row>
    <row r="14" ht="18" customHeight="1">
      <c r="B14" s="86" t="inlineStr">
        <is>
          <t>Sala 2</t>
        </is>
      </c>
      <c r="C14" s="25" t="inlineStr">
        <is>
          <t>DH 8</t>
        </is>
      </c>
      <c r="D14" s="87" t="inlineStr">
        <is>
          <t>DH</t>
        </is>
      </c>
      <c r="E14" s="67" t="n">
        <v>46287</v>
      </c>
      <c r="F14" s="67" t="n">
        <v>46300</v>
      </c>
      <c r="G14" s="25" t="inlineStr">
        <is>
          <t>Seg-Sex</t>
        </is>
      </c>
      <c r="H14" s="20" t="inlineStr">
        <is>
          <t>Não (verificado dia a dia por cadência)</t>
        </is>
      </c>
    </row>
    <row r="15" ht="18" customHeight="1">
      <c r="B15" s="86" t="inlineStr">
        <is>
          <t>Sala 3</t>
        </is>
      </c>
      <c r="C15" s="25" t="inlineStr">
        <is>
          <t>DH 9</t>
        </is>
      </c>
      <c r="D15" s="87" t="inlineStr">
        <is>
          <t>DH</t>
        </is>
      </c>
      <c r="E15" s="67" t="n">
        <v>46287</v>
      </c>
      <c r="F15" s="67" t="n">
        <v>46300</v>
      </c>
      <c r="G15" s="25" t="inlineStr">
        <is>
          <t>Seg-Sex</t>
        </is>
      </c>
      <c r="H15" s="20" t="inlineStr">
        <is>
          <t>Não (verificado dia a dia por cadência)</t>
        </is>
      </c>
    </row>
    <row r="16" ht="18" customHeight="1">
      <c r="B16" s="86" t="inlineStr">
        <is>
          <t>Sala 1</t>
        </is>
      </c>
      <c r="C16" s="25" t="inlineStr">
        <is>
          <t>DH 10</t>
        </is>
      </c>
      <c r="D16" s="87" t="inlineStr">
        <is>
          <t>DH</t>
        </is>
      </c>
      <c r="E16" s="67" t="n">
        <v>46301</v>
      </c>
      <c r="F16" s="67" t="n">
        <v>46315</v>
      </c>
      <c r="G16" s="25" t="inlineStr">
        <is>
          <t>Seg-Sex</t>
        </is>
      </c>
      <c r="H16" s="20" t="inlineStr">
        <is>
          <t>Não (verificado dia a dia por cadência)</t>
        </is>
      </c>
    </row>
    <row r="17" ht="18" customHeight="1">
      <c r="B17" s="86" t="inlineStr">
        <is>
          <t>Sala 2</t>
        </is>
      </c>
      <c r="C17" s="25" t="inlineStr">
        <is>
          <t>DH 11</t>
        </is>
      </c>
      <c r="D17" s="87" t="inlineStr">
        <is>
          <t>DH</t>
        </is>
      </c>
      <c r="E17" s="67" t="n">
        <v>46301</v>
      </c>
      <c r="F17" s="67" t="n">
        <v>46315</v>
      </c>
      <c r="G17" s="25" t="inlineStr">
        <is>
          <t>Seg-Sex</t>
        </is>
      </c>
      <c r="H17" s="20" t="inlineStr">
        <is>
          <t>Não (verificado dia a dia por cadência)</t>
        </is>
      </c>
    </row>
    <row r="18" ht="18" customHeight="1">
      <c r="B18" s="86" t="inlineStr">
        <is>
          <t>Sala 3</t>
        </is>
      </c>
      <c r="C18" s="25" t="inlineStr">
        <is>
          <t>DH 12</t>
        </is>
      </c>
      <c r="D18" s="87" t="inlineStr">
        <is>
          <t>DH</t>
        </is>
      </c>
      <c r="E18" s="67" t="n">
        <v>46301</v>
      </c>
      <c r="F18" s="67" t="n">
        <v>46315</v>
      </c>
      <c r="G18" s="25" t="inlineStr">
        <is>
          <t>Seg-Sex</t>
        </is>
      </c>
      <c r="H18" s="20" t="inlineStr">
        <is>
          <t>Não (verificado dia a dia por cadência)</t>
        </is>
      </c>
    </row>
    <row r="19" ht="18" customHeight="1">
      <c r="B19" s="86" t="inlineStr">
        <is>
          <t>Sala 1</t>
        </is>
      </c>
      <c r="C19" s="25" t="inlineStr">
        <is>
          <t>DH 13</t>
        </is>
      </c>
      <c r="D19" s="87" t="inlineStr">
        <is>
          <t>DH</t>
        </is>
      </c>
      <c r="E19" s="67" t="n">
        <v>46316</v>
      </c>
      <c r="F19" s="67" t="n">
        <v>46330</v>
      </c>
      <c r="G19" s="25" t="inlineStr">
        <is>
          <t>Seg-Sex</t>
        </is>
      </c>
      <c r="H19" s="20" t="inlineStr">
        <is>
          <t>Não (verificado dia a dia por cadência)</t>
        </is>
      </c>
    </row>
    <row r="20" ht="18" customHeight="1">
      <c r="B20" s="86" t="inlineStr">
        <is>
          <t>Sala 2</t>
        </is>
      </c>
      <c r="C20" s="25" t="inlineStr">
        <is>
          <t>DH 14</t>
        </is>
      </c>
      <c r="D20" s="87" t="inlineStr">
        <is>
          <t>DH</t>
        </is>
      </c>
      <c r="E20" s="67" t="n">
        <v>46316</v>
      </c>
      <c r="F20" s="67" t="n">
        <v>46330</v>
      </c>
      <c r="G20" s="25" t="inlineStr">
        <is>
          <t>Seg-Sex</t>
        </is>
      </c>
      <c r="H20" s="20" t="inlineStr">
        <is>
          <t>Não (verificado dia a dia por cadência)</t>
        </is>
      </c>
    </row>
    <row r="21" ht="18" customHeight="1">
      <c r="B21" s="86" t="inlineStr">
        <is>
          <t>Sala 3</t>
        </is>
      </c>
      <c r="C21" s="25" t="inlineStr">
        <is>
          <t>DH 15</t>
        </is>
      </c>
      <c r="D21" s="87" t="inlineStr">
        <is>
          <t>DH</t>
        </is>
      </c>
      <c r="E21" s="67" t="n">
        <v>46316</v>
      </c>
      <c r="F21" s="67" t="n">
        <v>46330</v>
      </c>
      <c r="G21" s="25" t="inlineStr">
        <is>
          <t>Seg-Sex</t>
        </is>
      </c>
      <c r="H21" s="20" t="inlineStr">
        <is>
          <t>Não (verificado dia a dia por cadência)</t>
        </is>
      </c>
    </row>
    <row r="23">
      <c r="B23" s="17" t="inlineStr">
        <is>
          <t>VARIANTE B1 — OG EM ESPAÇOS ADICIONAIS (NÃO CONFIRMADO)</t>
        </is>
      </c>
    </row>
    <row r="24" ht="30" customHeight="1">
      <c r="B24" s="27" t="inlineStr">
        <is>
          <t>Espaço</t>
        </is>
      </c>
      <c r="C24" s="27" t="inlineStr">
        <is>
          <t>Turma</t>
        </is>
      </c>
      <c r="D24" s="27" t="inlineStr">
        <is>
          <t>Tipo</t>
        </is>
      </c>
      <c r="E24" s="27" t="inlineStr">
        <is>
          <t>Início</t>
        </is>
      </c>
      <c r="F24" s="27" t="inlineStr">
        <is>
          <t>Término</t>
        </is>
      </c>
      <c r="G24" s="27" t="inlineStr">
        <is>
          <t>Cadência</t>
        </is>
      </c>
      <c r="H24" s="27" t="inlineStr">
        <is>
          <t>Conflito de horário?</t>
        </is>
      </c>
      <c r="I24" s="27" t="inlineStr">
        <is>
          <t>Observação</t>
        </is>
      </c>
    </row>
    <row r="25" ht="18" customHeight="1">
      <c r="B25" s="8" t="inlineStr">
        <is>
          <t>Espaço OG 1 (ADICIONAL, não confirmado)</t>
        </is>
      </c>
      <c r="C25" s="25" t="inlineStr">
        <is>
          <t>OG 1</t>
        </is>
      </c>
      <c r="D25" s="88" t="inlineStr">
        <is>
          <t>OG</t>
        </is>
      </c>
      <c r="E25" s="67" t="n">
        <v>46276</v>
      </c>
      <c r="F25" s="67" t="n">
        <v>46279</v>
      </c>
      <c r="G25" s="25" t="inlineStr">
        <is>
          <t>Seg-Sex (2 enc.)</t>
        </is>
      </c>
      <c r="H25" s="20" t="inlineStr">
        <is>
          <t>Não (espaço dedicado)</t>
        </is>
      </c>
    </row>
    <row r="26" ht="18" customHeight="1">
      <c r="B26" s="8" t="inlineStr">
        <is>
          <t>Espaço OG 1 (ADICIONAL, não confirmado)</t>
        </is>
      </c>
      <c r="C26" s="25" t="inlineStr">
        <is>
          <t>OG 4</t>
        </is>
      </c>
      <c r="D26" s="88" t="inlineStr">
        <is>
          <t>OG</t>
        </is>
      </c>
      <c r="E26" s="67" t="n">
        <v>46293</v>
      </c>
      <c r="F26" s="67" t="n">
        <v>46294</v>
      </c>
      <c r="G26" s="25" t="inlineStr">
        <is>
          <t>Seg-Sex (2 enc.)</t>
        </is>
      </c>
      <c r="H26" s="20" t="inlineStr">
        <is>
          <t>Não (espaço dedicado)</t>
        </is>
      </c>
    </row>
    <row r="27" ht="18" customHeight="1">
      <c r="B27" s="8" t="inlineStr">
        <is>
          <t>Espaço OG 1 (ADICIONAL, não confirmado)</t>
        </is>
      </c>
      <c r="C27" s="25" t="inlineStr">
        <is>
          <t>OG 7</t>
        </is>
      </c>
      <c r="D27" s="88" t="inlineStr">
        <is>
          <t>OG</t>
        </is>
      </c>
      <c r="E27" s="67" t="n">
        <v>46308</v>
      </c>
      <c r="F27" s="67" t="n">
        <v>46309</v>
      </c>
      <c r="G27" s="25" t="inlineStr">
        <is>
          <t>Seg-Sex (2 enc.)</t>
        </is>
      </c>
      <c r="H27" s="20" t="inlineStr">
        <is>
          <t>Não (espaço dedicado)</t>
        </is>
      </c>
    </row>
    <row r="28" ht="18" customHeight="1">
      <c r="B28" s="8" t="inlineStr">
        <is>
          <t>Espaço OG 1 (ADICIONAL, não confirmado)</t>
        </is>
      </c>
      <c r="C28" s="25" t="inlineStr">
        <is>
          <t>OG 10</t>
        </is>
      </c>
      <c r="D28" s="88" t="inlineStr">
        <is>
          <t>OG</t>
        </is>
      </c>
      <c r="E28" s="67" t="n">
        <v>46322</v>
      </c>
      <c r="F28" s="67" t="n">
        <v>46323</v>
      </c>
      <c r="G28" s="25" t="inlineStr">
        <is>
          <t>Seg-Sex (2 enc.)</t>
        </is>
      </c>
      <c r="H28" s="20" t="inlineStr">
        <is>
          <t>Não (espaço dedicado)</t>
        </is>
      </c>
    </row>
    <row r="29" ht="18" customHeight="1">
      <c r="B29" s="8" t="inlineStr">
        <is>
          <t>Espaço OG 1 (ADICIONAL, não confirmado)</t>
        </is>
      </c>
      <c r="C29" s="25" t="inlineStr">
        <is>
          <t>OG 13</t>
        </is>
      </c>
      <c r="D29" s="88" t="inlineStr">
        <is>
          <t>OG</t>
        </is>
      </c>
      <c r="E29" s="67" t="n">
        <v>46337</v>
      </c>
      <c r="F29" s="67" t="n">
        <v>46338</v>
      </c>
      <c r="G29" s="25" t="inlineStr">
        <is>
          <t>Seg-Sex (2 enc.)</t>
        </is>
      </c>
      <c r="H29" s="20" t="inlineStr">
        <is>
          <t>Não (espaço dedicado)</t>
        </is>
      </c>
    </row>
    <row r="30" ht="18" customHeight="1">
      <c r="B30" s="8" t="inlineStr">
        <is>
          <t>Espaço OG 2 (ADICIONAL, não confirmado)</t>
        </is>
      </c>
      <c r="C30" s="25" t="inlineStr">
        <is>
          <t>OG 2</t>
        </is>
      </c>
      <c r="D30" s="88" t="inlineStr">
        <is>
          <t>OG</t>
        </is>
      </c>
      <c r="E30" s="67" t="n">
        <v>46276</v>
      </c>
      <c r="F30" s="67" t="n">
        <v>46279</v>
      </c>
      <c r="G30" s="25" t="inlineStr">
        <is>
          <t>Seg-Sex (2 enc.)</t>
        </is>
      </c>
      <c r="H30" s="20" t="inlineStr">
        <is>
          <t>Não (espaço dedicado)</t>
        </is>
      </c>
    </row>
    <row r="31" ht="18" customHeight="1">
      <c r="B31" s="8" t="inlineStr">
        <is>
          <t>Espaço OG 2 (ADICIONAL, não confirmado)</t>
        </is>
      </c>
      <c r="C31" s="25" t="inlineStr">
        <is>
          <t>OG 5</t>
        </is>
      </c>
      <c r="D31" s="88" t="inlineStr">
        <is>
          <t>OG</t>
        </is>
      </c>
      <c r="E31" s="67" t="n">
        <v>46293</v>
      </c>
      <c r="F31" s="67" t="n">
        <v>46294</v>
      </c>
      <c r="G31" s="25" t="inlineStr">
        <is>
          <t>Seg-Sex (2 enc.)</t>
        </is>
      </c>
      <c r="H31" s="20" t="inlineStr">
        <is>
          <t>Não (espaço dedicado)</t>
        </is>
      </c>
    </row>
    <row r="32" ht="18" customHeight="1">
      <c r="B32" s="8" t="inlineStr">
        <is>
          <t>Espaço OG 2 (ADICIONAL, não confirmado)</t>
        </is>
      </c>
      <c r="C32" s="25" t="inlineStr">
        <is>
          <t>OG 8</t>
        </is>
      </c>
      <c r="D32" s="88" t="inlineStr">
        <is>
          <t>OG</t>
        </is>
      </c>
      <c r="E32" s="67" t="n">
        <v>46308</v>
      </c>
      <c r="F32" s="67" t="n">
        <v>46309</v>
      </c>
      <c r="G32" s="25" t="inlineStr">
        <is>
          <t>Seg-Sex (2 enc.)</t>
        </is>
      </c>
      <c r="H32" s="20" t="inlineStr">
        <is>
          <t>Não (espaço dedicado)</t>
        </is>
      </c>
    </row>
    <row r="33" ht="18" customHeight="1">
      <c r="B33" s="8" t="inlineStr">
        <is>
          <t>Espaço OG 2 (ADICIONAL, não confirmado)</t>
        </is>
      </c>
      <c r="C33" s="25" t="inlineStr">
        <is>
          <t>OG 11</t>
        </is>
      </c>
      <c r="D33" s="88" t="inlineStr">
        <is>
          <t>OG</t>
        </is>
      </c>
      <c r="E33" s="67" t="n">
        <v>46322</v>
      </c>
      <c r="F33" s="67" t="n">
        <v>46323</v>
      </c>
      <c r="G33" s="25" t="inlineStr">
        <is>
          <t>Seg-Sex (2 enc.)</t>
        </is>
      </c>
      <c r="H33" s="20" t="inlineStr">
        <is>
          <t>Não (espaço dedicado)</t>
        </is>
      </c>
    </row>
    <row r="34" ht="18" customHeight="1">
      <c r="B34" s="8" t="inlineStr">
        <is>
          <t>Espaço OG 2 (ADICIONAL, não confirmado)</t>
        </is>
      </c>
      <c r="C34" s="25" t="inlineStr">
        <is>
          <t>OG 14</t>
        </is>
      </c>
      <c r="D34" s="88" t="inlineStr">
        <is>
          <t>OG</t>
        </is>
      </c>
      <c r="E34" s="67" t="n">
        <v>46337</v>
      </c>
      <c r="F34" s="67" t="n">
        <v>46338</v>
      </c>
      <c r="G34" s="25" t="inlineStr">
        <is>
          <t>Seg-Sex (2 enc.)</t>
        </is>
      </c>
      <c r="H34" s="20" t="inlineStr">
        <is>
          <t>Não (espaço dedicado)</t>
        </is>
      </c>
    </row>
    <row r="35" ht="18" customHeight="1">
      <c r="B35" s="8" t="inlineStr">
        <is>
          <t>Espaço OG 3 (ADICIONAL, não confirmado)</t>
        </is>
      </c>
      <c r="C35" s="25" t="inlineStr">
        <is>
          <t>OG 3</t>
        </is>
      </c>
      <c r="D35" s="88" t="inlineStr">
        <is>
          <t>OG</t>
        </is>
      </c>
      <c r="E35" s="67" t="n">
        <v>46276</v>
      </c>
      <c r="F35" s="67" t="n">
        <v>46279</v>
      </c>
      <c r="G35" s="25" t="inlineStr">
        <is>
          <t>Seg-Sex (2 enc.)</t>
        </is>
      </c>
      <c r="H35" s="20" t="inlineStr">
        <is>
          <t>Não (espaço dedicado)</t>
        </is>
      </c>
    </row>
    <row r="36" ht="18" customHeight="1">
      <c r="B36" s="8" t="inlineStr">
        <is>
          <t>Espaço OG 3 (ADICIONAL, não confirmado)</t>
        </is>
      </c>
      <c r="C36" s="25" t="inlineStr">
        <is>
          <t>OG 6</t>
        </is>
      </c>
      <c r="D36" s="88" t="inlineStr">
        <is>
          <t>OG</t>
        </is>
      </c>
      <c r="E36" s="67" t="n">
        <v>46293</v>
      </c>
      <c r="F36" s="67" t="n">
        <v>46294</v>
      </c>
      <c r="G36" s="25" t="inlineStr">
        <is>
          <t>Seg-Sex (2 enc.)</t>
        </is>
      </c>
      <c r="H36" s="20" t="inlineStr">
        <is>
          <t>Não (espaço dedicado)</t>
        </is>
      </c>
    </row>
    <row r="37" ht="18" customHeight="1">
      <c r="B37" s="8" t="inlineStr">
        <is>
          <t>Espaço OG 3 (ADICIONAL, não confirmado)</t>
        </is>
      </c>
      <c r="C37" s="25" t="inlineStr">
        <is>
          <t>OG 9</t>
        </is>
      </c>
      <c r="D37" s="88" t="inlineStr">
        <is>
          <t>OG</t>
        </is>
      </c>
      <c r="E37" s="67" t="n">
        <v>46308</v>
      </c>
      <c r="F37" s="67" t="n">
        <v>46309</v>
      </c>
      <c r="G37" s="25" t="inlineStr">
        <is>
          <t>Seg-Sex (2 enc.)</t>
        </is>
      </c>
      <c r="H37" s="20" t="inlineStr">
        <is>
          <t>Não (espaço dedicado)</t>
        </is>
      </c>
    </row>
    <row r="38" ht="18" customHeight="1">
      <c r="B38" s="8" t="inlineStr">
        <is>
          <t>Espaço OG 3 (ADICIONAL, não confirmado)</t>
        </is>
      </c>
      <c r="C38" s="25" t="inlineStr">
        <is>
          <t>OG 12</t>
        </is>
      </c>
      <c r="D38" s="88" t="inlineStr">
        <is>
          <t>OG</t>
        </is>
      </c>
      <c r="E38" s="67" t="n">
        <v>46322</v>
      </c>
      <c r="F38" s="67" t="n">
        <v>46323</v>
      </c>
      <c r="G38" s="25" t="inlineStr">
        <is>
          <t>Seg-Sex (2 enc.)</t>
        </is>
      </c>
      <c r="H38" s="20" t="inlineStr">
        <is>
          <t>Não (espaço dedicado)</t>
        </is>
      </c>
    </row>
    <row r="39" ht="18" customHeight="1">
      <c r="B39" s="8" t="inlineStr">
        <is>
          <t>Espaço OG 3 (ADICIONAL, não confirmado)</t>
        </is>
      </c>
      <c r="C39" s="25" t="inlineStr">
        <is>
          <t>OG 15</t>
        </is>
      </c>
      <c r="D39" s="88" t="inlineStr">
        <is>
          <t>OG</t>
        </is>
      </c>
      <c r="E39" s="67" t="n">
        <v>46337</v>
      </c>
      <c r="F39" s="67" t="n">
        <v>46338</v>
      </c>
      <c r="G39" s="25" t="inlineStr">
        <is>
          <t>Seg-Sex (2 enc.)</t>
        </is>
      </c>
      <c r="H39" s="20" t="inlineStr">
        <is>
          <t>Não (espaço dedicado)</t>
        </is>
      </c>
    </row>
    <row r="41">
      <c r="B41" s="17" t="inlineStr">
        <is>
          <t>VARIANTE B2 — OG NAS MESMAS 3 SALAS DE DH (após o fim total da fase DH)</t>
        </is>
      </c>
    </row>
    <row r="42" ht="30" customHeight="1">
      <c r="B42" s="27" t="inlineStr">
        <is>
          <t>Sala</t>
        </is>
      </c>
      <c r="C42" s="27" t="inlineStr">
        <is>
          <t>Turma</t>
        </is>
      </c>
      <c r="D42" s="27" t="inlineStr">
        <is>
          <t>Tipo</t>
        </is>
      </c>
      <c r="E42" s="27" t="inlineStr">
        <is>
          <t>Início</t>
        </is>
      </c>
      <c r="F42" s="27" t="inlineStr">
        <is>
          <t>Término</t>
        </is>
      </c>
      <c r="G42" s="27" t="inlineStr">
        <is>
          <t>Cadência</t>
        </is>
      </c>
      <c r="H42" s="27" t="inlineStr">
        <is>
          <t>Conflito de horário?</t>
        </is>
      </c>
      <c r="I42" s="27" t="inlineStr">
        <is>
          <t>Observação</t>
        </is>
      </c>
    </row>
    <row r="43" ht="18" customHeight="1">
      <c r="B43" s="86" t="inlineStr">
        <is>
          <t>Sala 1</t>
        </is>
      </c>
      <c r="C43" s="25" t="inlineStr">
        <is>
          <t>OG 1</t>
        </is>
      </c>
      <c r="D43" s="88" t="inlineStr">
        <is>
          <t>OG</t>
        </is>
      </c>
      <c r="E43" s="67" t="n">
        <v>46331</v>
      </c>
      <c r="F43" s="67" t="n">
        <v>46332</v>
      </c>
      <c r="G43" s="25" t="inlineStr">
        <is>
          <t>Seg-Sex (2 enc.)</t>
        </is>
      </c>
      <c r="H43" s="20" t="inlineStr">
        <is>
          <t>Não (roda em ondas sequenciais)</t>
        </is>
      </c>
    </row>
    <row r="44" ht="18" customHeight="1">
      <c r="B44" s="86" t="inlineStr">
        <is>
          <t>Sala 1</t>
        </is>
      </c>
      <c r="C44" s="25" t="inlineStr">
        <is>
          <t>OG 4</t>
        </is>
      </c>
      <c r="D44" s="88" t="inlineStr">
        <is>
          <t>OG</t>
        </is>
      </c>
      <c r="E44" s="67" t="n">
        <v>46335</v>
      </c>
      <c r="F44" s="67" t="n">
        <v>46336</v>
      </c>
      <c r="G44" s="25" t="inlineStr">
        <is>
          <t>Seg-Sex (2 enc.)</t>
        </is>
      </c>
      <c r="H44" s="20" t="inlineStr">
        <is>
          <t>Não (roda em ondas sequenciais)</t>
        </is>
      </c>
    </row>
    <row r="45" ht="18" customHeight="1">
      <c r="B45" s="86" t="inlineStr">
        <is>
          <t>Sala 1</t>
        </is>
      </c>
      <c r="C45" s="25" t="inlineStr">
        <is>
          <t>OG 7</t>
        </is>
      </c>
      <c r="D45" s="88" t="inlineStr">
        <is>
          <t>OG</t>
        </is>
      </c>
      <c r="E45" s="67" t="n">
        <v>46337</v>
      </c>
      <c r="F45" s="67" t="n">
        <v>46338</v>
      </c>
      <c r="G45" s="25" t="inlineStr">
        <is>
          <t>Seg-Sex (2 enc.)</t>
        </is>
      </c>
      <c r="H45" s="20" t="inlineStr">
        <is>
          <t>Não (roda em ondas sequenciais)</t>
        </is>
      </c>
    </row>
    <row r="46" ht="18" customHeight="1">
      <c r="B46" s="86" t="inlineStr">
        <is>
          <t>Sala 1</t>
        </is>
      </c>
      <c r="C46" s="25" t="inlineStr">
        <is>
          <t>OG 10</t>
        </is>
      </c>
      <c r="D46" s="88" t="inlineStr">
        <is>
          <t>OG</t>
        </is>
      </c>
      <c r="E46" s="67" t="n">
        <v>46339</v>
      </c>
      <c r="F46" s="67" t="n">
        <v>46342</v>
      </c>
      <c r="G46" s="25" t="inlineStr">
        <is>
          <t>Seg-Sex (2 enc.)</t>
        </is>
      </c>
      <c r="H46" s="20" t="inlineStr">
        <is>
          <t>Não (roda em ondas sequenciais)</t>
        </is>
      </c>
    </row>
    <row r="47" ht="18" customHeight="1">
      <c r="B47" s="86" t="inlineStr">
        <is>
          <t>Sala 1</t>
        </is>
      </c>
      <c r="C47" s="25" t="inlineStr">
        <is>
          <t>OG 13</t>
        </is>
      </c>
      <c r="D47" s="88" t="inlineStr">
        <is>
          <t>OG</t>
        </is>
      </c>
      <c r="E47" s="67" t="n">
        <v>46343</v>
      </c>
      <c r="F47" s="67" t="n">
        <v>46344</v>
      </c>
      <c r="G47" s="25" t="inlineStr">
        <is>
          <t>Seg-Sex (2 enc.)</t>
        </is>
      </c>
      <c r="H47" s="20" t="inlineStr">
        <is>
          <t>Não (roda em ondas sequenciais)</t>
        </is>
      </c>
    </row>
    <row r="48" ht="18" customHeight="1">
      <c r="B48" s="86" t="inlineStr">
        <is>
          <t>Sala 2</t>
        </is>
      </c>
      <c r="C48" s="25" t="inlineStr">
        <is>
          <t>OG 2</t>
        </is>
      </c>
      <c r="D48" s="88" t="inlineStr">
        <is>
          <t>OG</t>
        </is>
      </c>
      <c r="E48" s="67" t="n">
        <v>46331</v>
      </c>
      <c r="F48" s="67" t="n">
        <v>46332</v>
      </c>
      <c r="G48" s="25" t="inlineStr">
        <is>
          <t>Seg-Sex (2 enc.)</t>
        </is>
      </c>
      <c r="H48" s="20" t="inlineStr">
        <is>
          <t>Não (roda em ondas sequenciais)</t>
        </is>
      </c>
    </row>
    <row r="49" ht="18" customHeight="1">
      <c r="B49" s="86" t="inlineStr">
        <is>
          <t>Sala 2</t>
        </is>
      </c>
      <c r="C49" s="25" t="inlineStr">
        <is>
          <t>OG 5</t>
        </is>
      </c>
      <c r="D49" s="88" t="inlineStr">
        <is>
          <t>OG</t>
        </is>
      </c>
      <c r="E49" s="67" t="n">
        <v>46335</v>
      </c>
      <c r="F49" s="67" t="n">
        <v>46336</v>
      </c>
      <c r="G49" s="25" t="inlineStr">
        <is>
          <t>Seg-Sex (2 enc.)</t>
        </is>
      </c>
      <c r="H49" s="20" t="inlineStr">
        <is>
          <t>Não (roda em ondas sequenciais)</t>
        </is>
      </c>
    </row>
    <row r="50" ht="18" customHeight="1">
      <c r="B50" s="86" t="inlineStr">
        <is>
          <t>Sala 2</t>
        </is>
      </c>
      <c r="C50" s="25" t="inlineStr">
        <is>
          <t>OG 8</t>
        </is>
      </c>
      <c r="D50" s="88" t="inlineStr">
        <is>
          <t>OG</t>
        </is>
      </c>
      <c r="E50" s="67" t="n">
        <v>46337</v>
      </c>
      <c r="F50" s="67" t="n">
        <v>46338</v>
      </c>
      <c r="G50" s="25" t="inlineStr">
        <is>
          <t>Seg-Sex (2 enc.)</t>
        </is>
      </c>
      <c r="H50" s="20" t="inlineStr">
        <is>
          <t>Não (roda em ondas sequenciais)</t>
        </is>
      </c>
    </row>
    <row r="51" ht="18" customHeight="1">
      <c r="B51" s="86" t="inlineStr">
        <is>
          <t>Sala 2</t>
        </is>
      </c>
      <c r="C51" s="25" t="inlineStr">
        <is>
          <t>OG 11</t>
        </is>
      </c>
      <c r="D51" s="88" t="inlineStr">
        <is>
          <t>OG</t>
        </is>
      </c>
      <c r="E51" s="67" t="n">
        <v>46339</v>
      </c>
      <c r="F51" s="67" t="n">
        <v>46342</v>
      </c>
      <c r="G51" s="25" t="inlineStr">
        <is>
          <t>Seg-Sex (2 enc.)</t>
        </is>
      </c>
      <c r="H51" s="20" t="inlineStr">
        <is>
          <t>Não (roda em ondas sequenciais)</t>
        </is>
      </c>
    </row>
    <row r="52" ht="18" customHeight="1">
      <c r="B52" s="86" t="inlineStr">
        <is>
          <t>Sala 2</t>
        </is>
      </c>
      <c r="C52" s="25" t="inlineStr">
        <is>
          <t>OG 14</t>
        </is>
      </c>
      <c r="D52" s="88" t="inlineStr">
        <is>
          <t>OG</t>
        </is>
      </c>
      <c r="E52" s="67" t="n">
        <v>46343</v>
      </c>
      <c r="F52" s="67" t="n">
        <v>46344</v>
      </c>
      <c r="G52" s="25" t="inlineStr">
        <is>
          <t>Seg-Sex (2 enc.)</t>
        </is>
      </c>
      <c r="H52" s="20" t="inlineStr">
        <is>
          <t>Não (roda em ondas sequenciais)</t>
        </is>
      </c>
    </row>
    <row r="53" ht="18" customHeight="1">
      <c r="B53" s="86" t="inlineStr">
        <is>
          <t>Sala 3</t>
        </is>
      </c>
      <c r="C53" s="25" t="inlineStr">
        <is>
          <t>OG 3</t>
        </is>
      </c>
      <c r="D53" s="88" t="inlineStr">
        <is>
          <t>OG</t>
        </is>
      </c>
      <c r="E53" s="67" t="n">
        <v>46331</v>
      </c>
      <c r="F53" s="67" t="n">
        <v>46332</v>
      </c>
      <c r="G53" s="25" t="inlineStr">
        <is>
          <t>Seg-Sex (2 enc.)</t>
        </is>
      </c>
      <c r="H53" s="20" t="inlineStr">
        <is>
          <t>Não (roda em ondas sequenciais)</t>
        </is>
      </c>
    </row>
    <row r="54" ht="18" customHeight="1">
      <c r="B54" s="86" t="inlineStr">
        <is>
          <t>Sala 3</t>
        </is>
      </c>
      <c r="C54" s="25" t="inlineStr">
        <is>
          <t>OG 6</t>
        </is>
      </c>
      <c r="D54" s="88" t="inlineStr">
        <is>
          <t>OG</t>
        </is>
      </c>
      <c r="E54" s="67" t="n">
        <v>46335</v>
      </c>
      <c r="F54" s="67" t="n">
        <v>46336</v>
      </c>
      <c r="G54" s="25" t="inlineStr">
        <is>
          <t>Seg-Sex (2 enc.)</t>
        </is>
      </c>
      <c r="H54" s="20" t="inlineStr">
        <is>
          <t>Não (roda em ondas sequenciais)</t>
        </is>
      </c>
    </row>
    <row r="55" ht="18" customHeight="1">
      <c r="B55" s="86" t="inlineStr">
        <is>
          <t>Sala 3</t>
        </is>
      </c>
      <c r="C55" s="25" t="inlineStr">
        <is>
          <t>OG 9</t>
        </is>
      </c>
      <c r="D55" s="88" t="inlineStr">
        <is>
          <t>OG</t>
        </is>
      </c>
      <c r="E55" s="67" t="n">
        <v>46337</v>
      </c>
      <c r="F55" s="67" t="n">
        <v>46338</v>
      </c>
      <c r="G55" s="25" t="inlineStr">
        <is>
          <t>Seg-Sex (2 enc.)</t>
        </is>
      </c>
      <c r="H55" s="20" t="inlineStr">
        <is>
          <t>Não (roda em ondas sequenciais)</t>
        </is>
      </c>
    </row>
    <row r="56" ht="18" customHeight="1">
      <c r="B56" s="86" t="inlineStr">
        <is>
          <t>Sala 3</t>
        </is>
      </c>
      <c r="C56" s="25" t="inlineStr">
        <is>
          <t>OG 12</t>
        </is>
      </c>
      <c r="D56" s="88" t="inlineStr">
        <is>
          <t>OG</t>
        </is>
      </c>
      <c r="E56" s="67" t="n">
        <v>46339</v>
      </c>
      <c r="F56" s="67" t="n">
        <v>46342</v>
      </c>
      <c r="G56" s="25" t="inlineStr">
        <is>
          <t>Seg-Sex (2 enc.)</t>
        </is>
      </c>
      <c r="H56" s="20" t="inlineStr">
        <is>
          <t>Não (roda em ondas sequenciais)</t>
        </is>
      </c>
    </row>
    <row r="57" ht="18" customHeight="1">
      <c r="B57" s="86" t="inlineStr">
        <is>
          <t>Sala 3</t>
        </is>
      </c>
      <c r="C57" s="25" t="inlineStr">
        <is>
          <t>OG 15</t>
        </is>
      </c>
      <c r="D57" s="88" t="inlineStr">
        <is>
          <t>OG</t>
        </is>
      </c>
      <c r="E57" s="67" t="n">
        <v>46343</v>
      </c>
      <c r="F57" s="67" t="n">
        <v>46344</v>
      </c>
      <c r="G57" s="25" t="inlineStr">
        <is>
          <t>Seg-Sex (2 enc.)</t>
        </is>
      </c>
      <c r="H57" s="20" t="inlineStr">
        <is>
          <t>Não (roda em ondas sequenciais)</t>
        </is>
      </c>
    </row>
    <row r="59">
      <c r="B59" s="17" t="inlineStr">
        <is>
          <t>LOCAIS EXTERNOS — CURSOS TÉCNICOS (fornecedores; datas propostas para simulação)</t>
        </is>
      </c>
    </row>
    <row r="60" ht="30" customHeight="1">
      <c r="B60" s="27" t="inlineStr">
        <is>
          <t>Fornecedor / Local</t>
        </is>
      </c>
      <c r="C60" s="27" t="inlineStr">
        <is>
          <t>Turma</t>
        </is>
      </c>
      <c r="D60" s="27" t="inlineStr">
        <is>
          <t>Tema</t>
        </is>
      </c>
      <c r="E60" s="27" t="inlineStr">
        <is>
          <t>Início</t>
        </is>
      </c>
      <c r="F60" s="27" t="inlineStr">
        <is>
          <t>Término</t>
        </is>
      </c>
      <c r="G60" s="27" t="inlineStr">
        <is>
          <t>Período livre até próxima turma</t>
        </is>
      </c>
      <c r="H60" s="27" t="inlineStr">
        <is>
          <t>Observação</t>
        </is>
      </c>
      <c r="I60" s="27" t="inlineStr"/>
    </row>
    <row r="61" ht="26" customHeight="1">
      <c r="B61" s="8" t="inlineStr">
        <is>
          <t>Fundo Social / SENAI</t>
        </is>
      </c>
      <c r="C61" s="25" t="inlineStr">
        <is>
          <t>CT1a</t>
        </is>
      </c>
      <c r="D61" s="9" t="inlineStr">
        <is>
          <t>Corte e Costura</t>
        </is>
      </c>
      <c r="E61" s="67" t="n">
        <v>46293</v>
      </c>
      <c r="F61" s="67" t="n">
        <v>46302</v>
      </c>
      <c r="G61" s="25" t="inlineStr">
        <is>
          <t>6 dias até CT1b</t>
        </is>
      </c>
      <c r="H61" s="25" t="inlineStr">
        <is>
          <t>Data proposta para simulação</t>
        </is>
      </c>
    </row>
    <row r="62" ht="26" customHeight="1">
      <c r="B62" s="8" t="inlineStr">
        <is>
          <t>Fundo Social / SENAI</t>
        </is>
      </c>
      <c r="C62" s="25" t="inlineStr">
        <is>
          <t>CT1b</t>
        </is>
      </c>
      <c r="D62" s="9" t="inlineStr">
        <is>
          <t>Corte e Costura</t>
        </is>
      </c>
      <c r="E62" s="67" t="n">
        <v>46308</v>
      </c>
      <c r="F62" s="67" t="n">
        <v>46317</v>
      </c>
      <c r="G62" s="25" t="inlineStr">
        <is>
          <t>Última turma desta trilha</t>
        </is>
      </c>
      <c r="H62" s="25" t="inlineStr">
        <is>
          <t>Data proposta para simulação</t>
        </is>
      </c>
    </row>
    <row r="63" ht="26" customHeight="1">
      <c r="B63" s="8" t="inlineStr">
        <is>
          <t>Fundo Social / SENAC</t>
        </is>
      </c>
      <c r="C63" s="25" t="inlineStr">
        <is>
          <t>CT3</t>
        </is>
      </c>
      <c r="D63" s="9" t="inlineStr">
        <is>
          <t>Beleza / Unhas</t>
        </is>
      </c>
      <c r="E63" s="67" t="n">
        <v>46321</v>
      </c>
      <c r="F63" s="67" t="n">
        <v>46335</v>
      </c>
      <c r="G63" s="25" t="inlineStr">
        <is>
          <t>3 dias até CT5</t>
        </is>
      </c>
      <c r="H63" s="25" t="inlineStr">
        <is>
          <t>Data proposta para simulação</t>
        </is>
      </c>
    </row>
    <row r="64" ht="26" customHeight="1">
      <c r="B64" s="8" t="inlineStr">
        <is>
          <t>Fundo Social / SENAC</t>
        </is>
      </c>
      <c r="C64" s="25" t="inlineStr">
        <is>
          <t>CT5</t>
        </is>
      </c>
      <c r="D64" s="9" t="inlineStr">
        <is>
          <t>Beleza / Cabelos Cacheados e Crespos</t>
        </is>
      </c>
      <c r="E64" s="67" t="n">
        <v>46338</v>
      </c>
      <c r="F64" s="67" t="n">
        <v>46358</v>
      </c>
      <c r="G64" s="25" t="inlineStr">
        <is>
          <t>5 dias até CT4a</t>
        </is>
      </c>
      <c r="H64" s="25" t="inlineStr">
        <is>
          <t>Data proposta para simulação</t>
        </is>
      </c>
    </row>
    <row r="65" ht="26" customHeight="1">
      <c r="B65" s="8" t="inlineStr">
        <is>
          <t>Fundo Social / SENAC</t>
        </is>
      </c>
      <c r="C65" s="25" t="inlineStr">
        <is>
          <t>CT4a</t>
        </is>
      </c>
      <c r="D65" s="9" t="inlineStr">
        <is>
          <t>Preparacao de Alimentos</t>
        </is>
      </c>
      <c r="E65" s="67" t="n">
        <v>46363</v>
      </c>
      <c r="F65" s="67" t="n">
        <v>46401</v>
      </c>
      <c r="G65" s="25" t="inlineStr">
        <is>
          <t>4 dias até CT4b</t>
        </is>
      </c>
      <c r="H65" s="25" t="inlineStr">
        <is>
          <t>Data proposta para simulação</t>
        </is>
      </c>
    </row>
    <row r="66" ht="26" customHeight="1">
      <c r="B66" s="8" t="inlineStr">
        <is>
          <t>Fundo Social / SENAC</t>
        </is>
      </c>
      <c r="C66" s="25" t="inlineStr">
        <is>
          <t>CT4b</t>
        </is>
      </c>
      <c r="D66" s="9" t="inlineStr">
        <is>
          <t>Preparacao de Alimentos</t>
        </is>
      </c>
      <c r="E66" s="67" t="n">
        <v>46405</v>
      </c>
      <c r="F66" s="67" t="n">
        <v>46422</v>
      </c>
      <c r="G66" s="25" t="inlineStr">
        <is>
          <t>Última turma desta trilha</t>
        </is>
      </c>
      <c r="H66" s="25" t="inlineStr">
        <is>
          <t>Data proposta para simulação</t>
        </is>
      </c>
    </row>
    <row r="67" ht="26" customHeight="1">
      <c r="B67" s="8" t="inlineStr">
        <is>
          <t>SENAI Paulinia</t>
        </is>
      </c>
      <c r="C67" s="25" t="inlineStr">
        <is>
          <t>CT7a</t>
        </is>
      </c>
      <c r="D67" s="9" t="inlineStr">
        <is>
          <t>Eletrica</t>
        </is>
      </c>
      <c r="E67" s="67" t="n">
        <v>46293</v>
      </c>
      <c r="F67" s="67" t="n">
        <v>46321</v>
      </c>
      <c r="G67" s="25" t="inlineStr">
        <is>
          <t>3 dias até CT7b</t>
        </is>
      </c>
      <c r="H67" s="25" t="inlineStr">
        <is>
          <t>Data proposta para simulação</t>
        </is>
      </c>
    </row>
    <row r="68" ht="26" customHeight="1">
      <c r="B68" s="8" t="inlineStr">
        <is>
          <t>SENAI Paulinia</t>
        </is>
      </c>
      <c r="C68" s="25" t="inlineStr">
        <is>
          <t>CT7b</t>
        </is>
      </c>
      <c r="D68" s="9" t="inlineStr">
        <is>
          <t>Eletrica</t>
        </is>
      </c>
      <c r="E68" s="67" t="n">
        <v>46324</v>
      </c>
      <c r="F68" s="67" t="n">
        <v>46353</v>
      </c>
      <c r="G68" s="25" t="inlineStr">
        <is>
          <t>3 dias até CT6</t>
        </is>
      </c>
      <c r="H68" s="25" t="inlineStr">
        <is>
          <t>Data proposta para simulação</t>
        </is>
      </c>
    </row>
    <row r="69" ht="26" customHeight="1">
      <c r="B69" s="8" t="inlineStr">
        <is>
          <t>SENAI Paulinia</t>
        </is>
      </c>
      <c r="C69" s="25" t="inlineStr">
        <is>
          <t>CT6</t>
        </is>
      </c>
      <c r="D69" s="9" t="inlineStr">
        <is>
          <t>Automacao</t>
        </is>
      </c>
      <c r="E69" s="67" t="n">
        <v>46356</v>
      </c>
      <c r="F69" s="67" t="n">
        <v>46402</v>
      </c>
      <c r="G69" s="25" t="inlineStr">
        <is>
          <t>Última turma desta trilha</t>
        </is>
      </c>
      <c r="H69" s="25" t="inlineStr">
        <is>
          <t>Data proposta para simulação</t>
        </is>
      </c>
    </row>
    <row r="70" ht="26" customHeight="1">
      <c r="B70" s="89" t="inlineStr">
        <is>
          <t>? (fornecedor nao confirmado)</t>
        </is>
      </c>
      <c r="C70" s="25" t="inlineStr">
        <is>
          <t>CT2</t>
        </is>
      </c>
      <c r="D70" s="9" t="inlineStr">
        <is>
          <t>Jardinagem</t>
        </is>
      </c>
      <c r="E70" s="67" t="n">
        <v>46293</v>
      </c>
      <c r="F70" s="67" t="n">
        <v>46304</v>
      </c>
      <c r="G70" s="25" t="inlineStr">
        <is>
          <t>Última turma desta trilha</t>
        </is>
      </c>
      <c r="H70" s="25" t="inlineStr">
        <is>
          <t>Data proposta — fornecedor não confirmado</t>
        </is>
      </c>
    </row>
  </sheetData>
  <mergeCells count="6">
    <mergeCell ref="B41:H41"/>
    <mergeCell ref="B2:H2"/>
    <mergeCell ref="B59:H59"/>
    <mergeCell ref="B3:H3"/>
    <mergeCell ref="B5:H5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5395"/>
    <outlinePr summaryBelow="1" summaryRight="1"/>
    <pageSetUpPr/>
  </sheetPr>
  <dimension ref="B2:J5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22" customWidth="1" min="8" max="8"/>
    <col width="16" customWidth="1" min="9" max="9"/>
    <col width="34" customWidth="1" min="10" max="10"/>
    <col width="3" customWidth="1" min="11" max="11"/>
  </cols>
  <sheetData>
    <row r="2" ht="28" customHeight="1">
      <c r="B2" s="1" t="inlineStr">
        <is>
          <t>VISÃO POR TURMA — PALESTRAS (PS) E DESENVOLVIMENTO HUMANO (DH)</t>
        </is>
      </c>
    </row>
    <row r="3">
      <c r="B3" s="2" t="inlineStr">
        <is>
          <t>Cenário B (referência desta versão) — a formação de cada turma é CONDICIONADA à Palestra atingir quórum (ver marcos de validação na aba 07)</t>
        </is>
      </c>
    </row>
    <row r="5" ht="20" customHeight="1">
      <c r="B5" s="90" t="inlineStr">
        <is>
          <t>PALESTRAS DE SENSIBILIZAÇÃO (PS 01 – PS 30)</t>
        </is>
      </c>
    </row>
    <row r="6" ht="30" customHeight="1">
      <c r="B6" s="27" t="inlineStr">
        <is>
          <t>Turma</t>
        </is>
      </c>
      <c r="C6" s="27" t="inlineStr">
        <is>
          <t>Data</t>
        </is>
      </c>
      <c r="D6" s="27" t="inlineStr">
        <is>
          <t>Dia da
semana</t>
        </is>
      </c>
      <c r="E6" s="27" t="inlineStr">
        <is>
          <t>Carga
horária</t>
        </is>
      </c>
      <c r="F6" s="27" t="inlineStr">
        <is>
          <t>Encontros</t>
        </is>
      </c>
      <c r="G6" s="27" t="inlineStr">
        <is>
          <t>Nº aprox.
participantes</t>
        </is>
      </c>
      <c r="H6" s="27" t="inlineStr">
        <is>
          <t>Predecessora</t>
        </is>
      </c>
      <c r="I6" s="27" t="inlineStr">
        <is>
          <t>Situação da informação</t>
        </is>
      </c>
    </row>
    <row r="7" ht="18" customHeight="1">
      <c r="B7" s="18" t="inlineStr">
        <is>
          <t>PS 01</t>
        </is>
      </c>
      <c r="C7" s="67" t="n">
        <v>46245</v>
      </c>
      <c r="D7" s="25" t="inlineStr">
        <is>
          <t>Terça</t>
        </is>
      </c>
      <c r="E7" s="25" t="inlineStr">
        <is>
          <t>2h</t>
        </is>
      </c>
      <c r="F7" s="25" t="n">
        <v>1</v>
      </c>
      <c r="G7" s="25" t="inlineStr">
        <is>
          <t>20-40</t>
        </is>
      </c>
      <c r="H7" s="25" t="inlineStr">
        <is>
          <t>—</t>
        </is>
      </c>
      <c r="I7" s="12" t="inlineStr">
        <is>
          <t>Premissa provisória</t>
        </is>
      </c>
    </row>
    <row r="8" ht="18" customHeight="1">
      <c r="B8" s="18" t="inlineStr">
        <is>
          <t>PS 02</t>
        </is>
      </c>
      <c r="C8" s="67" t="n">
        <v>46246</v>
      </c>
      <c r="D8" s="25" t="inlineStr">
        <is>
          <t>Quarta</t>
        </is>
      </c>
      <c r="E8" s="25" t="inlineStr">
        <is>
          <t>2h</t>
        </is>
      </c>
      <c r="F8" s="25" t="n">
        <v>1</v>
      </c>
      <c r="G8" s="25" t="inlineStr">
        <is>
          <t>20-40</t>
        </is>
      </c>
      <c r="H8" s="25" t="inlineStr">
        <is>
          <t>—</t>
        </is>
      </c>
      <c r="I8" s="12" t="inlineStr">
        <is>
          <t>Premissa provisória</t>
        </is>
      </c>
    </row>
    <row r="9" ht="18" customHeight="1">
      <c r="B9" s="18" t="inlineStr">
        <is>
          <t>PS 03</t>
        </is>
      </c>
      <c r="C9" s="67" t="n">
        <v>46247</v>
      </c>
      <c r="D9" s="25" t="inlineStr">
        <is>
          <t>Quinta</t>
        </is>
      </c>
      <c r="E9" s="25" t="inlineStr">
        <is>
          <t>2h</t>
        </is>
      </c>
      <c r="F9" s="25" t="n">
        <v>1</v>
      </c>
      <c r="G9" s="25" t="inlineStr">
        <is>
          <t>20-40</t>
        </is>
      </c>
      <c r="H9" s="25" t="inlineStr">
        <is>
          <t>—</t>
        </is>
      </c>
      <c r="I9" s="12" t="inlineStr">
        <is>
          <t>Premissa provisória</t>
        </is>
      </c>
    </row>
    <row r="10" ht="18" customHeight="1">
      <c r="B10" s="18" t="inlineStr">
        <is>
          <t>PS 04</t>
        </is>
      </c>
      <c r="C10" s="67" t="n">
        <v>46252</v>
      </c>
      <c r="D10" s="25" t="inlineStr">
        <is>
          <t>Terça</t>
        </is>
      </c>
      <c r="E10" s="25" t="inlineStr">
        <is>
          <t>2h</t>
        </is>
      </c>
      <c r="F10" s="25" t="n">
        <v>1</v>
      </c>
      <c r="G10" s="25" t="inlineStr">
        <is>
          <t>20-40</t>
        </is>
      </c>
      <c r="H10" s="25" t="inlineStr">
        <is>
          <t>—</t>
        </is>
      </c>
      <c r="I10" s="12" t="inlineStr">
        <is>
          <t>Premissa provisória</t>
        </is>
      </c>
    </row>
    <row r="11" ht="18" customHeight="1">
      <c r="B11" s="18" t="inlineStr">
        <is>
          <t>PS 05</t>
        </is>
      </c>
      <c r="C11" s="67" t="n">
        <v>46253</v>
      </c>
      <c r="D11" s="25" t="inlineStr">
        <is>
          <t>Quarta</t>
        </is>
      </c>
      <c r="E11" s="25" t="inlineStr">
        <is>
          <t>2h</t>
        </is>
      </c>
      <c r="F11" s="25" t="n">
        <v>1</v>
      </c>
      <c r="G11" s="25" t="inlineStr">
        <is>
          <t>20-40</t>
        </is>
      </c>
      <c r="H11" s="25" t="inlineStr">
        <is>
          <t>—</t>
        </is>
      </c>
      <c r="I11" s="12" t="inlineStr">
        <is>
          <t>Premissa provisória</t>
        </is>
      </c>
    </row>
    <row r="12" ht="18" customHeight="1">
      <c r="B12" s="18" t="inlineStr">
        <is>
          <t>PS 06</t>
        </is>
      </c>
      <c r="C12" s="67" t="n">
        <v>46254</v>
      </c>
      <c r="D12" s="25" t="inlineStr">
        <is>
          <t>Quinta</t>
        </is>
      </c>
      <c r="E12" s="25" t="inlineStr">
        <is>
          <t>2h</t>
        </is>
      </c>
      <c r="F12" s="25" t="n">
        <v>1</v>
      </c>
      <c r="G12" s="25" t="inlineStr">
        <is>
          <t>20-40</t>
        </is>
      </c>
      <c r="H12" s="25" t="inlineStr">
        <is>
          <t>—</t>
        </is>
      </c>
      <c r="I12" s="12" t="inlineStr">
        <is>
          <t>Premissa provisória</t>
        </is>
      </c>
    </row>
    <row r="13" ht="18" customHeight="1">
      <c r="B13" s="18" t="inlineStr">
        <is>
          <t>PS 07</t>
        </is>
      </c>
      <c r="C13" s="67" t="n">
        <v>46259</v>
      </c>
      <c r="D13" s="25" t="inlineStr">
        <is>
          <t>Terça</t>
        </is>
      </c>
      <c r="E13" s="25" t="inlineStr">
        <is>
          <t>2h</t>
        </is>
      </c>
      <c r="F13" s="25" t="n">
        <v>1</v>
      </c>
      <c r="G13" s="25" t="inlineStr">
        <is>
          <t>20-40</t>
        </is>
      </c>
      <c r="H13" s="25" t="inlineStr">
        <is>
          <t>—</t>
        </is>
      </c>
      <c r="I13" s="12" t="inlineStr">
        <is>
          <t>Premissa provisória</t>
        </is>
      </c>
    </row>
    <row r="14" ht="18" customHeight="1">
      <c r="B14" s="18" t="inlineStr">
        <is>
          <t>PS 08</t>
        </is>
      </c>
      <c r="C14" s="67" t="n">
        <v>46260</v>
      </c>
      <c r="D14" s="25" t="inlineStr">
        <is>
          <t>Quarta</t>
        </is>
      </c>
      <c r="E14" s="25" t="inlineStr">
        <is>
          <t>2h</t>
        </is>
      </c>
      <c r="F14" s="25" t="n">
        <v>1</v>
      </c>
      <c r="G14" s="25" t="inlineStr">
        <is>
          <t>20-40</t>
        </is>
      </c>
      <c r="H14" s="25" t="inlineStr">
        <is>
          <t>—</t>
        </is>
      </c>
      <c r="I14" s="12" t="inlineStr">
        <is>
          <t>Premissa provisória</t>
        </is>
      </c>
    </row>
    <row r="15" ht="18" customHeight="1">
      <c r="B15" s="18" t="inlineStr">
        <is>
          <t>PS 09</t>
        </is>
      </c>
      <c r="C15" s="67" t="n">
        <v>46261</v>
      </c>
      <c r="D15" s="25" t="inlineStr">
        <is>
          <t>Quinta</t>
        </is>
      </c>
      <c r="E15" s="25" t="inlineStr">
        <is>
          <t>2h</t>
        </is>
      </c>
      <c r="F15" s="25" t="n">
        <v>1</v>
      </c>
      <c r="G15" s="25" t="inlineStr">
        <is>
          <t>20-40</t>
        </is>
      </c>
      <c r="H15" s="25" t="inlineStr">
        <is>
          <t>—</t>
        </is>
      </c>
      <c r="I15" s="12" t="inlineStr">
        <is>
          <t>Premissa provisória</t>
        </is>
      </c>
    </row>
    <row r="16" ht="18" customHeight="1">
      <c r="B16" s="18" t="inlineStr">
        <is>
          <t>PS 10</t>
        </is>
      </c>
      <c r="C16" s="67" t="n">
        <v>46266</v>
      </c>
      <c r="D16" s="25" t="inlineStr">
        <is>
          <t>Terça</t>
        </is>
      </c>
      <c r="E16" s="25" t="inlineStr">
        <is>
          <t>2h</t>
        </is>
      </c>
      <c r="F16" s="25" t="n">
        <v>1</v>
      </c>
      <c r="G16" s="25" t="inlineStr">
        <is>
          <t>20-40</t>
        </is>
      </c>
      <c r="H16" s="25" t="inlineStr">
        <is>
          <t>—</t>
        </is>
      </c>
      <c r="I16" s="12" t="inlineStr">
        <is>
          <t>Premissa provisória</t>
        </is>
      </c>
    </row>
    <row r="17" ht="18" customHeight="1">
      <c r="B17" s="18" t="inlineStr">
        <is>
          <t>PS 11</t>
        </is>
      </c>
      <c r="C17" s="67" t="n">
        <v>46267</v>
      </c>
      <c r="D17" s="25" t="inlineStr">
        <is>
          <t>Quarta</t>
        </is>
      </c>
      <c r="E17" s="25" t="inlineStr">
        <is>
          <t>2h</t>
        </is>
      </c>
      <c r="F17" s="25" t="n">
        <v>1</v>
      </c>
      <c r="G17" s="25" t="inlineStr">
        <is>
          <t>20-40</t>
        </is>
      </c>
      <c r="H17" s="25" t="inlineStr">
        <is>
          <t>—</t>
        </is>
      </c>
      <c r="I17" s="12" t="inlineStr">
        <is>
          <t>Premissa provisória</t>
        </is>
      </c>
    </row>
    <row r="18" ht="18" customHeight="1">
      <c r="B18" s="18" t="inlineStr">
        <is>
          <t>PS 12</t>
        </is>
      </c>
      <c r="C18" s="67" t="n">
        <v>46268</v>
      </c>
      <c r="D18" s="25" t="inlineStr">
        <is>
          <t>Quinta</t>
        </is>
      </c>
      <c r="E18" s="25" t="inlineStr">
        <is>
          <t>2h</t>
        </is>
      </c>
      <c r="F18" s="25" t="n">
        <v>1</v>
      </c>
      <c r="G18" s="25" t="inlineStr">
        <is>
          <t>20-40</t>
        </is>
      </c>
      <c r="H18" s="25" t="inlineStr">
        <is>
          <t>—</t>
        </is>
      </c>
      <c r="I18" s="12" t="inlineStr">
        <is>
          <t>Premissa provisória</t>
        </is>
      </c>
    </row>
    <row r="19" ht="18" customHeight="1">
      <c r="B19" s="18" t="inlineStr">
        <is>
          <t>PS 13</t>
        </is>
      </c>
      <c r="C19" s="67" t="n">
        <v>46273</v>
      </c>
      <c r="D19" s="25" t="inlineStr">
        <is>
          <t>Terça</t>
        </is>
      </c>
      <c r="E19" s="25" t="inlineStr">
        <is>
          <t>2h</t>
        </is>
      </c>
      <c r="F19" s="25" t="n">
        <v>1</v>
      </c>
      <c r="G19" s="25" t="inlineStr">
        <is>
          <t>20-40</t>
        </is>
      </c>
      <c r="H19" s="25" t="inlineStr">
        <is>
          <t>—</t>
        </is>
      </c>
      <c r="I19" s="12" t="inlineStr">
        <is>
          <t>Premissa provisória</t>
        </is>
      </c>
    </row>
    <row r="20" ht="18" customHeight="1">
      <c r="B20" s="18" t="inlineStr">
        <is>
          <t>PS 14</t>
        </is>
      </c>
      <c r="C20" s="67" t="n">
        <v>46274</v>
      </c>
      <c r="D20" s="25" t="inlineStr">
        <is>
          <t>Quarta</t>
        </is>
      </c>
      <c r="E20" s="25" t="inlineStr">
        <is>
          <t>2h</t>
        </is>
      </c>
      <c r="F20" s="25" t="n">
        <v>1</v>
      </c>
      <c r="G20" s="25" t="inlineStr">
        <is>
          <t>20-40</t>
        </is>
      </c>
      <c r="H20" s="25" t="inlineStr">
        <is>
          <t>—</t>
        </is>
      </c>
      <c r="I20" s="12" t="inlineStr">
        <is>
          <t>Premissa provisória</t>
        </is>
      </c>
    </row>
    <row r="21" ht="18" customHeight="1">
      <c r="B21" s="18" t="inlineStr">
        <is>
          <t>PS 15</t>
        </is>
      </c>
      <c r="C21" s="67" t="n">
        <v>46275</v>
      </c>
      <c r="D21" s="25" t="inlineStr">
        <is>
          <t>Quinta</t>
        </is>
      </c>
      <c r="E21" s="25" t="inlineStr">
        <is>
          <t>2h</t>
        </is>
      </c>
      <c r="F21" s="25" t="n">
        <v>1</v>
      </c>
      <c r="G21" s="25" t="inlineStr">
        <is>
          <t>20-40</t>
        </is>
      </c>
      <c r="H21" s="25" t="inlineStr">
        <is>
          <t>—</t>
        </is>
      </c>
      <c r="I21" s="12" t="inlineStr">
        <is>
          <t>Premissa provisória</t>
        </is>
      </c>
    </row>
    <row r="22" ht="18" customHeight="1">
      <c r="B22" s="18" t="inlineStr">
        <is>
          <t>PS 16</t>
        </is>
      </c>
      <c r="C22" s="67" t="n">
        <v>46280</v>
      </c>
      <c r="D22" s="25" t="inlineStr">
        <is>
          <t>Terça</t>
        </is>
      </c>
      <c r="E22" s="25" t="inlineStr">
        <is>
          <t>2h</t>
        </is>
      </c>
      <c r="F22" s="25" t="n">
        <v>1</v>
      </c>
      <c r="G22" s="25" t="inlineStr">
        <is>
          <t>20-40</t>
        </is>
      </c>
      <c r="H22" s="25" t="inlineStr">
        <is>
          <t>—</t>
        </is>
      </c>
      <c r="I22" s="12" t="inlineStr">
        <is>
          <t>Premissa provisória</t>
        </is>
      </c>
    </row>
    <row r="23" ht="18" customHeight="1">
      <c r="B23" s="18" t="inlineStr">
        <is>
          <t>PS 17</t>
        </is>
      </c>
      <c r="C23" s="67" t="n">
        <v>46281</v>
      </c>
      <c r="D23" s="25" t="inlineStr">
        <is>
          <t>Quarta</t>
        </is>
      </c>
      <c r="E23" s="25" t="inlineStr">
        <is>
          <t>2h</t>
        </is>
      </c>
      <c r="F23" s="25" t="n">
        <v>1</v>
      </c>
      <c r="G23" s="25" t="inlineStr">
        <is>
          <t>20-40</t>
        </is>
      </c>
      <c r="H23" s="25" t="inlineStr">
        <is>
          <t>—</t>
        </is>
      </c>
      <c r="I23" s="12" t="inlineStr">
        <is>
          <t>Premissa provisória</t>
        </is>
      </c>
    </row>
    <row r="24" ht="18" customHeight="1">
      <c r="B24" s="18" t="inlineStr">
        <is>
          <t>PS 18</t>
        </is>
      </c>
      <c r="C24" s="67" t="n">
        <v>46282</v>
      </c>
      <c r="D24" s="25" t="inlineStr">
        <is>
          <t>Quinta</t>
        </is>
      </c>
      <c r="E24" s="25" t="inlineStr">
        <is>
          <t>2h</t>
        </is>
      </c>
      <c r="F24" s="25" t="n">
        <v>1</v>
      </c>
      <c r="G24" s="25" t="inlineStr">
        <is>
          <t>20-40</t>
        </is>
      </c>
      <c r="H24" s="25" t="inlineStr">
        <is>
          <t>—</t>
        </is>
      </c>
      <c r="I24" s="12" t="inlineStr">
        <is>
          <t>Premissa provisória</t>
        </is>
      </c>
    </row>
    <row r="25" ht="18" customHeight="1">
      <c r="B25" s="18" t="inlineStr">
        <is>
          <t>PS 19</t>
        </is>
      </c>
      <c r="C25" s="67" t="n">
        <v>46287</v>
      </c>
      <c r="D25" s="25" t="inlineStr">
        <is>
          <t>Terça</t>
        </is>
      </c>
      <c r="E25" s="25" t="inlineStr">
        <is>
          <t>2h</t>
        </is>
      </c>
      <c r="F25" s="25" t="n">
        <v>1</v>
      </c>
      <c r="G25" s="25" t="inlineStr">
        <is>
          <t>20-40</t>
        </is>
      </c>
      <c r="H25" s="25" t="inlineStr">
        <is>
          <t>—</t>
        </is>
      </c>
      <c r="I25" s="12" t="inlineStr">
        <is>
          <t>Premissa provisória</t>
        </is>
      </c>
    </row>
    <row r="26" ht="18" customHeight="1">
      <c r="B26" s="18" t="inlineStr">
        <is>
          <t>PS 20</t>
        </is>
      </c>
      <c r="C26" s="67" t="n">
        <v>46288</v>
      </c>
      <c r="D26" s="25" t="inlineStr">
        <is>
          <t>Quarta</t>
        </is>
      </c>
      <c r="E26" s="25" t="inlineStr">
        <is>
          <t>2h</t>
        </is>
      </c>
      <c r="F26" s="25" t="n">
        <v>1</v>
      </c>
      <c r="G26" s="25" t="inlineStr">
        <is>
          <t>20-40</t>
        </is>
      </c>
      <c r="H26" s="25" t="inlineStr">
        <is>
          <t>—</t>
        </is>
      </c>
      <c r="I26" s="12" t="inlineStr">
        <is>
          <t>Premissa provisória</t>
        </is>
      </c>
    </row>
    <row r="27" ht="18" customHeight="1">
      <c r="B27" s="18" t="inlineStr">
        <is>
          <t>PS 21</t>
        </is>
      </c>
      <c r="C27" s="67" t="n">
        <v>46289</v>
      </c>
      <c r="D27" s="25" t="inlineStr">
        <is>
          <t>Quinta</t>
        </is>
      </c>
      <c r="E27" s="25" t="inlineStr">
        <is>
          <t>2h</t>
        </is>
      </c>
      <c r="F27" s="25" t="n">
        <v>1</v>
      </c>
      <c r="G27" s="25" t="inlineStr">
        <is>
          <t>20-40</t>
        </is>
      </c>
      <c r="H27" s="25" t="inlineStr">
        <is>
          <t>—</t>
        </is>
      </c>
      <c r="I27" s="12" t="inlineStr">
        <is>
          <t>Premissa provisória</t>
        </is>
      </c>
    </row>
    <row r="28" ht="18" customHeight="1">
      <c r="B28" s="18" t="inlineStr">
        <is>
          <t>PS 22</t>
        </is>
      </c>
      <c r="C28" s="67" t="n">
        <v>46294</v>
      </c>
      <c r="D28" s="25" t="inlineStr">
        <is>
          <t>Terça</t>
        </is>
      </c>
      <c r="E28" s="25" t="inlineStr">
        <is>
          <t>2h</t>
        </is>
      </c>
      <c r="F28" s="25" t="n">
        <v>1</v>
      </c>
      <c r="G28" s="25" t="inlineStr">
        <is>
          <t>20-40</t>
        </is>
      </c>
      <c r="H28" s="25" t="inlineStr">
        <is>
          <t>—</t>
        </is>
      </c>
      <c r="I28" s="12" t="inlineStr">
        <is>
          <t>Premissa provisória</t>
        </is>
      </c>
    </row>
    <row r="29" ht="18" customHeight="1">
      <c r="B29" s="18" t="inlineStr">
        <is>
          <t>PS 23</t>
        </is>
      </c>
      <c r="C29" s="67" t="n">
        <v>46295</v>
      </c>
      <c r="D29" s="25" t="inlineStr">
        <is>
          <t>Quarta</t>
        </is>
      </c>
      <c r="E29" s="25" t="inlineStr">
        <is>
          <t>2h</t>
        </is>
      </c>
      <c r="F29" s="25" t="n">
        <v>1</v>
      </c>
      <c r="G29" s="25" t="inlineStr">
        <is>
          <t>20-40</t>
        </is>
      </c>
      <c r="H29" s="25" t="inlineStr">
        <is>
          <t>—</t>
        </is>
      </c>
      <c r="I29" s="12" t="inlineStr">
        <is>
          <t>Premissa provisória</t>
        </is>
      </c>
    </row>
    <row r="30" ht="18" customHeight="1">
      <c r="B30" s="18" t="inlineStr">
        <is>
          <t>PS 24</t>
        </is>
      </c>
      <c r="C30" s="67" t="n">
        <v>46296</v>
      </c>
      <c r="D30" s="25" t="inlineStr">
        <is>
          <t>Quinta</t>
        </is>
      </c>
      <c r="E30" s="25" t="inlineStr">
        <is>
          <t>2h</t>
        </is>
      </c>
      <c r="F30" s="25" t="n">
        <v>1</v>
      </c>
      <c r="G30" s="25" t="inlineStr">
        <is>
          <t>20-40</t>
        </is>
      </c>
      <c r="H30" s="25" t="inlineStr">
        <is>
          <t>—</t>
        </is>
      </c>
      <c r="I30" s="12" t="inlineStr">
        <is>
          <t>Premissa provisória</t>
        </is>
      </c>
    </row>
    <row r="31" ht="18" customHeight="1">
      <c r="B31" s="18" t="inlineStr">
        <is>
          <t>PS 25</t>
        </is>
      </c>
      <c r="C31" s="67" t="n">
        <v>46301</v>
      </c>
      <c r="D31" s="25" t="inlineStr">
        <is>
          <t>Terça</t>
        </is>
      </c>
      <c r="E31" s="25" t="inlineStr">
        <is>
          <t>2h</t>
        </is>
      </c>
      <c r="F31" s="25" t="n">
        <v>1</v>
      </c>
      <c r="G31" s="25" t="inlineStr">
        <is>
          <t>20-40</t>
        </is>
      </c>
      <c r="H31" s="25" t="inlineStr">
        <is>
          <t>—</t>
        </is>
      </c>
      <c r="I31" s="12" t="inlineStr">
        <is>
          <t>Premissa provisória</t>
        </is>
      </c>
    </row>
    <row r="32" ht="18" customHeight="1">
      <c r="B32" s="18" t="inlineStr">
        <is>
          <t>PS 26</t>
        </is>
      </c>
      <c r="C32" s="67" t="n">
        <v>46302</v>
      </c>
      <c r="D32" s="25" t="inlineStr">
        <is>
          <t>Quarta</t>
        </is>
      </c>
      <c r="E32" s="25" t="inlineStr">
        <is>
          <t>2h</t>
        </is>
      </c>
      <c r="F32" s="25" t="n">
        <v>1</v>
      </c>
      <c r="G32" s="25" t="inlineStr">
        <is>
          <t>20-40</t>
        </is>
      </c>
      <c r="H32" s="25" t="inlineStr">
        <is>
          <t>—</t>
        </is>
      </c>
      <c r="I32" s="12" t="inlineStr">
        <is>
          <t>Premissa provisória</t>
        </is>
      </c>
    </row>
    <row r="33" ht="18" customHeight="1">
      <c r="B33" s="18" t="inlineStr">
        <is>
          <t>PS 27</t>
        </is>
      </c>
      <c r="C33" s="67" t="n">
        <v>46303</v>
      </c>
      <c r="D33" s="25" t="inlineStr">
        <is>
          <t>Quinta</t>
        </is>
      </c>
      <c r="E33" s="25" t="inlineStr">
        <is>
          <t>2h</t>
        </is>
      </c>
      <c r="F33" s="25" t="n">
        <v>1</v>
      </c>
      <c r="G33" s="25" t="inlineStr">
        <is>
          <t>20-40</t>
        </is>
      </c>
      <c r="H33" s="25" t="inlineStr">
        <is>
          <t>—</t>
        </is>
      </c>
      <c r="I33" s="12" t="inlineStr">
        <is>
          <t>Premissa provisória</t>
        </is>
      </c>
    </row>
    <row r="34" ht="18" customHeight="1">
      <c r="B34" s="18" t="inlineStr">
        <is>
          <t>PS 28</t>
        </is>
      </c>
      <c r="C34" s="67" t="n">
        <v>46308</v>
      </c>
      <c r="D34" s="25" t="inlineStr">
        <is>
          <t>Terça</t>
        </is>
      </c>
      <c r="E34" s="25" t="inlineStr">
        <is>
          <t>2h</t>
        </is>
      </c>
      <c r="F34" s="25" t="n">
        <v>1</v>
      </c>
      <c r="G34" s="25" t="inlineStr">
        <is>
          <t>20-40</t>
        </is>
      </c>
      <c r="H34" s="25" t="inlineStr">
        <is>
          <t>—</t>
        </is>
      </c>
      <c r="I34" s="12" t="inlineStr">
        <is>
          <t>Premissa provisória</t>
        </is>
      </c>
    </row>
    <row r="35" ht="18" customHeight="1">
      <c r="B35" s="18" t="inlineStr">
        <is>
          <t>PS 29</t>
        </is>
      </c>
      <c r="C35" s="67" t="n">
        <v>46309</v>
      </c>
      <c r="D35" s="25" t="inlineStr">
        <is>
          <t>Quarta</t>
        </is>
      </c>
      <c r="E35" s="25" t="inlineStr">
        <is>
          <t>2h</t>
        </is>
      </c>
      <c r="F35" s="25" t="n">
        <v>1</v>
      </c>
      <c r="G35" s="25" t="inlineStr">
        <is>
          <t>20-40</t>
        </is>
      </c>
      <c r="H35" s="25" t="inlineStr">
        <is>
          <t>—</t>
        </is>
      </c>
      <c r="I35" s="12" t="inlineStr">
        <is>
          <t>Premissa provisória</t>
        </is>
      </c>
    </row>
    <row r="36" ht="18" customHeight="1">
      <c r="B36" s="18" t="inlineStr">
        <is>
          <t>PS 30</t>
        </is>
      </c>
      <c r="C36" s="67" t="n">
        <v>46310</v>
      </c>
      <c r="D36" s="25" t="inlineStr">
        <is>
          <t>Quinta</t>
        </is>
      </c>
      <c r="E36" s="25" t="inlineStr">
        <is>
          <t>2h</t>
        </is>
      </c>
      <c r="F36" s="25" t="n">
        <v>1</v>
      </c>
      <c r="G36" s="25" t="inlineStr">
        <is>
          <t>20-40</t>
        </is>
      </c>
      <c r="H36" s="25" t="inlineStr">
        <is>
          <t>—</t>
        </is>
      </c>
      <c r="I36" s="12" t="inlineStr">
        <is>
          <t>Premissa provisória</t>
        </is>
      </c>
    </row>
    <row r="38" ht="20" customHeight="1">
      <c r="B38" s="91" t="inlineStr">
        <is>
          <t>DESENVOLVIMENTO HUMANO (DH 01 – DH 15) — Cenário B</t>
        </is>
      </c>
    </row>
    <row r="39" ht="30" customHeight="1">
      <c r="B39" s="27" t="inlineStr">
        <is>
          <t>Turma</t>
        </is>
      </c>
      <c r="C39" s="27" t="inlineStr">
        <is>
          <t>Início</t>
        </is>
      </c>
      <c r="D39" s="27" t="inlineStr">
        <is>
          <t>Término</t>
        </is>
      </c>
      <c r="E39" s="27" t="inlineStr">
        <is>
          <t>Frequência</t>
        </is>
      </c>
      <c r="F39" s="27" t="inlineStr">
        <is>
          <t>Carga
horária</t>
        </is>
      </c>
      <c r="G39" s="27" t="inlineStr">
        <is>
          <t>Encontros</t>
        </is>
      </c>
      <c r="H39" s="27" t="inlineStr">
        <is>
          <t>Sala</t>
        </is>
      </c>
      <c r="I39" s="27" t="inlineStr">
        <is>
          <t>Nº aprox.
participantes</t>
        </is>
      </c>
      <c r="J39" s="27" t="inlineStr">
        <is>
          <t>Predecessora / Situação</t>
        </is>
      </c>
    </row>
    <row r="40" ht="28" customHeight="1">
      <c r="B40" s="18" t="inlineStr">
        <is>
          <t>DH 1</t>
        </is>
      </c>
      <c r="C40" s="67" t="n">
        <v>46258</v>
      </c>
      <c r="D40" s="67" t="n">
        <v>46269</v>
      </c>
      <c r="E40" s="25" t="inlineStr">
        <is>
          <t>Seg-Sex</t>
        </is>
      </c>
      <c r="F40" s="25" t="inlineStr">
        <is>
          <t>20h (premissa; alternativa 22h)</t>
        </is>
      </c>
      <c r="G40" s="25" t="n">
        <v>10</v>
      </c>
      <c r="H40" s="25" t="inlineStr">
        <is>
          <t>Sala 1</t>
        </is>
      </c>
      <c r="I40" s="25" t="inlineStr">
        <is>
          <t>20-40</t>
        </is>
      </c>
      <c r="J40" s="68" t="inlineStr">
        <is>
          <t>PS 01 e PS 02 (regra 2 PS = 1 DH — premissa; formação CONDICIONADA a quórum, lote 1)</t>
        </is>
      </c>
    </row>
    <row r="41" ht="28" customHeight="1">
      <c r="B41" s="18" t="inlineStr">
        <is>
          <t>DH 2</t>
        </is>
      </c>
      <c r="C41" s="67" t="n">
        <v>46258</v>
      </c>
      <c r="D41" s="67" t="n">
        <v>46269</v>
      </c>
      <c r="E41" s="25" t="inlineStr">
        <is>
          <t>Seg-Sex</t>
        </is>
      </c>
      <c r="F41" s="25" t="inlineStr">
        <is>
          <t>20h (premissa; alternativa 22h)</t>
        </is>
      </c>
      <c r="G41" s="25" t="n">
        <v>10</v>
      </c>
      <c r="H41" s="25" t="inlineStr">
        <is>
          <t>Sala 2</t>
        </is>
      </c>
      <c r="I41" s="25" t="inlineStr">
        <is>
          <t>20-40</t>
        </is>
      </c>
      <c r="J41" s="68" t="inlineStr">
        <is>
          <t>PS 03 e PS 04 (regra 2 PS = 1 DH — premissa; formação CONDICIONADA a quórum, lote 1)</t>
        </is>
      </c>
    </row>
    <row r="42" ht="28" customHeight="1">
      <c r="B42" s="18" t="inlineStr">
        <is>
          <t>DH 3</t>
        </is>
      </c>
      <c r="C42" s="67" t="n">
        <v>46258</v>
      </c>
      <c r="D42" s="67" t="n">
        <v>46269</v>
      </c>
      <c r="E42" s="25" t="inlineStr">
        <is>
          <t>Seg-Sex</t>
        </is>
      </c>
      <c r="F42" s="25" t="inlineStr">
        <is>
          <t>20h (premissa; alternativa 22h)</t>
        </is>
      </c>
      <c r="G42" s="25" t="n">
        <v>10</v>
      </c>
      <c r="H42" s="25" t="inlineStr">
        <is>
          <t>Sala 3</t>
        </is>
      </c>
      <c r="I42" s="25" t="inlineStr">
        <is>
          <t>20-40</t>
        </is>
      </c>
      <c r="J42" s="68" t="inlineStr">
        <is>
          <t>PS 05 e PS 06 (regra 2 PS = 1 DH — premissa; formação CONDICIONADA a quórum, lote 1)</t>
        </is>
      </c>
    </row>
    <row r="43" ht="28" customHeight="1">
      <c r="B43" s="18" t="inlineStr">
        <is>
          <t>DH 4</t>
        </is>
      </c>
      <c r="C43" s="67" t="n">
        <v>46273</v>
      </c>
      <c r="D43" s="67" t="n">
        <v>46286</v>
      </c>
      <c r="E43" s="25" t="inlineStr">
        <is>
          <t>Seg-Sex</t>
        </is>
      </c>
      <c r="F43" s="25" t="inlineStr">
        <is>
          <t>20h (premissa; alternativa 22h)</t>
        </is>
      </c>
      <c r="G43" s="25" t="n">
        <v>10</v>
      </c>
      <c r="H43" s="25" t="inlineStr">
        <is>
          <t>Sala 1</t>
        </is>
      </c>
      <c r="I43" s="25" t="inlineStr">
        <is>
          <t>20-40</t>
        </is>
      </c>
      <c r="J43" s="68" t="inlineStr">
        <is>
          <t>PS 07 e PS 08 (regra 2 PS = 1 DH — premissa; formação CONDICIONADA a quórum, lote 2)</t>
        </is>
      </c>
    </row>
    <row r="44" ht="28" customHeight="1">
      <c r="B44" s="18" t="inlineStr">
        <is>
          <t>DH 5</t>
        </is>
      </c>
      <c r="C44" s="67" t="n">
        <v>46273</v>
      </c>
      <c r="D44" s="67" t="n">
        <v>46286</v>
      </c>
      <c r="E44" s="25" t="inlineStr">
        <is>
          <t>Seg-Sex</t>
        </is>
      </c>
      <c r="F44" s="25" t="inlineStr">
        <is>
          <t>20h (premissa; alternativa 22h)</t>
        </is>
      </c>
      <c r="G44" s="25" t="n">
        <v>10</v>
      </c>
      <c r="H44" s="25" t="inlineStr">
        <is>
          <t>Sala 2</t>
        </is>
      </c>
      <c r="I44" s="25" t="inlineStr">
        <is>
          <t>20-40</t>
        </is>
      </c>
      <c r="J44" s="68" t="inlineStr">
        <is>
          <t>PS 09 e PS 10 (regra 2 PS = 1 DH — premissa; formação CONDICIONADA a quórum, lote 2)</t>
        </is>
      </c>
    </row>
    <row r="45" ht="28" customHeight="1">
      <c r="B45" s="18" t="inlineStr">
        <is>
          <t>DH 6</t>
        </is>
      </c>
      <c r="C45" s="67" t="n">
        <v>46273</v>
      </c>
      <c r="D45" s="67" t="n">
        <v>46286</v>
      </c>
      <c r="E45" s="25" t="inlineStr">
        <is>
          <t>Seg-Sex</t>
        </is>
      </c>
      <c r="F45" s="25" t="inlineStr">
        <is>
          <t>20h (premissa; alternativa 22h)</t>
        </is>
      </c>
      <c r="G45" s="25" t="n">
        <v>10</v>
      </c>
      <c r="H45" s="25" t="inlineStr">
        <is>
          <t>Sala 3</t>
        </is>
      </c>
      <c r="I45" s="25" t="inlineStr">
        <is>
          <t>20-40</t>
        </is>
      </c>
      <c r="J45" s="68" t="inlineStr">
        <is>
          <t>PS 11 e PS 12 (regra 2 PS = 1 DH — premissa; formação CONDICIONADA a quórum, lote 2)</t>
        </is>
      </c>
    </row>
    <row r="46" ht="28" customHeight="1">
      <c r="B46" s="18" t="inlineStr">
        <is>
          <t>DH 7</t>
        </is>
      </c>
      <c r="C46" s="67" t="n">
        <v>46287</v>
      </c>
      <c r="D46" s="67" t="n">
        <v>46300</v>
      </c>
      <c r="E46" s="25" t="inlineStr">
        <is>
          <t>Seg-Sex</t>
        </is>
      </c>
      <c r="F46" s="25" t="inlineStr">
        <is>
          <t>20h (premissa; alternativa 22h)</t>
        </is>
      </c>
      <c r="G46" s="25" t="n">
        <v>10</v>
      </c>
      <c r="H46" s="25" t="inlineStr">
        <is>
          <t>Sala 1</t>
        </is>
      </c>
      <c r="I46" s="25" t="inlineStr">
        <is>
          <t>20-40</t>
        </is>
      </c>
      <c r="J46" s="68" t="inlineStr">
        <is>
          <t>PS 13 e PS 14 (regra 2 PS = 1 DH — premissa; formação CONDICIONADA a quórum, lote 3)</t>
        </is>
      </c>
    </row>
    <row r="47" ht="28" customHeight="1">
      <c r="B47" s="18" t="inlineStr">
        <is>
          <t>DH 8</t>
        </is>
      </c>
      <c r="C47" s="67" t="n">
        <v>46287</v>
      </c>
      <c r="D47" s="67" t="n">
        <v>46300</v>
      </c>
      <c r="E47" s="25" t="inlineStr">
        <is>
          <t>Seg-Sex</t>
        </is>
      </c>
      <c r="F47" s="25" t="inlineStr">
        <is>
          <t>20h (premissa; alternativa 22h)</t>
        </is>
      </c>
      <c r="G47" s="25" t="n">
        <v>10</v>
      </c>
      <c r="H47" s="25" t="inlineStr">
        <is>
          <t>Sala 2</t>
        </is>
      </c>
      <c r="I47" s="25" t="inlineStr">
        <is>
          <t>20-40</t>
        </is>
      </c>
      <c r="J47" s="68" t="inlineStr">
        <is>
          <t>PS 15 e PS 16 (regra 2 PS = 1 DH — premissa; formação CONDICIONADA a quórum, lote 3)</t>
        </is>
      </c>
    </row>
    <row r="48" ht="28" customHeight="1">
      <c r="B48" s="18" t="inlineStr">
        <is>
          <t>DH 9</t>
        </is>
      </c>
      <c r="C48" s="67" t="n">
        <v>46287</v>
      </c>
      <c r="D48" s="67" t="n">
        <v>46300</v>
      </c>
      <c r="E48" s="25" t="inlineStr">
        <is>
          <t>Seg-Sex</t>
        </is>
      </c>
      <c r="F48" s="25" t="inlineStr">
        <is>
          <t>20h (premissa; alternativa 22h)</t>
        </is>
      </c>
      <c r="G48" s="25" t="n">
        <v>10</v>
      </c>
      <c r="H48" s="25" t="inlineStr">
        <is>
          <t>Sala 3</t>
        </is>
      </c>
      <c r="I48" s="25" t="inlineStr">
        <is>
          <t>20-40</t>
        </is>
      </c>
      <c r="J48" s="68" t="inlineStr">
        <is>
          <t>PS 17 e PS 18 (regra 2 PS = 1 DH — premissa; formação CONDICIONADA a quórum, lote 3)</t>
        </is>
      </c>
    </row>
    <row r="49" ht="28" customHeight="1">
      <c r="B49" s="18" t="inlineStr">
        <is>
          <t>DH 10</t>
        </is>
      </c>
      <c r="C49" s="67" t="n">
        <v>46301</v>
      </c>
      <c r="D49" s="67" t="n">
        <v>46315</v>
      </c>
      <c r="E49" s="25" t="inlineStr">
        <is>
          <t>Seg-Sex</t>
        </is>
      </c>
      <c r="F49" s="25" t="inlineStr">
        <is>
          <t>20h (premissa; alternativa 22h)</t>
        </is>
      </c>
      <c r="G49" s="25" t="n">
        <v>10</v>
      </c>
      <c r="H49" s="25" t="inlineStr">
        <is>
          <t>Sala 1</t>
        </is>
      </c>
      <c r="I49" s="25" t="inlineStr">
        <is>
          <t>20-40</t>
        </is>
      </c>
      <c r="J49" s="68" t="inlineStr">
        <is>
          <t>PS 19 e PS 20 (regra 2 PS = 1 DH — premissa; formação CONDICIONADA a quórum, lote 4)</t>
        </is>
      </c>
    </row>
    <row r="50" ht="28" customHeight="1">
      <c r="B50" s="18" t="inlineStr">
        <is>
          <t>DH 11</t>
        </is>
      </c>
      <c r="C50" s="67" t="n">
        <v>46301</v>
      </c>
      <c r="D50" s="67" t="n">
        <v>46315</v>
      </c>
      <c r="E50" s="25" t="inlineStr">
        <is>
          <t>Seg-Sex</t>
        </is>
      </c>
      <c r="F50" s="25" t="inlineStr">
        <is>
          <t>20h (premissa; alternativa 22h)</t>
        </is>
      </c>
      <c r="G50" s="25" t="n">
        <v>10</v>
      </c>
      <c r="H50" s="25" t="inlineStr">
        <is>
          <t>Sala 2</t>
        </is>
      </c>
      <c r="I50" s="25" t="inlineStr">
        <is>
          <t>20-40</t>
        </is>
      </c>
      <c r="J50" s="68" t="inlineStr">
        <is>
          <t>PS 21 e PS 22 (regra 2 PS = 1 DH — premissa; formação CONDICIONADA a quórum, lote 4)</t>
        </is>
      </c>
    </row>
    <row r="51" ht="28" customHeight="1">
      <c r="B51" s="18" t="inlineStr">
        <is>
          <t>DH 12</t>
        </is>
      </c>
      <c r="C51" s="67" t="n">
        <v>46301</v>
      </c>
      <c r="D51" s="67" t="n">
        <v>46315</v>
      </c>
      <c r="E51" s="25" t="inlineStr">
        <is>
          <t>Seg-Sex</t>
        </is>
      </c>
      <c r="F51" s="25" t="inlineStr">
        <is>
          <t>20h (premissa; alternativa 22h)</t>
        </is>
      </c>
      <c r="G51" s="25" t="n">
        <v>10</v>
      </c>
      <c r="H51" s="25" t="inlineStr">
        <is>
          <t>Sala 3</t>
        </is>
      </c>
      <c r="I51" s="25" t="inlineStr">
        <is>
          <t>20-40</t>
        </is>
      </c>
      <c r="J51" s="68" t="inlineStr">
        <is>
          <t>PS 23 e PS 24 (regra 2 PS = 1 DH — premissa; formação CONDICIONADA a quórum, lote 4)</t>
        </is>
      </c>
    </row>
    <row r="52" ht="28" customHeight="1">
      <c r="B52" s="18" t="inlineStr">
        <is>
          <t>DH 13</t>
        </is>
      </c>
      <c r="C52" s="67" t="n">
        <v>46316</v>
      </c>
      <c r="D52" s="67" t="n">
        <v>46330</v>
      </c>
      <c r="E52" s="25" t="inlineStr">
        <is>
          <t>Seg-Sex</t>
        </is>
      </c>
      <c r="F52" s="25" t="inlineStr">
        <is>
          <t>20h (premissa; alternativa 22h)</t>
        </is>
      </c>
      <c r="G52" s="25" t="n">
        <v>10</v>
      </c>
      <c r="H52" s="25" t="inlineStr">
        <is>
          <t>Sala 1</t>
        </is>
      </c>
      <c r="I52" s="25" t="inlineStr">
        <is>
          <t>20-40</t>
        </is>
      </c>
      <c r="J52" s="68" t="inlineStr">
        <is>
          <t>PS 25 e PS 26 (regra 2 PS = 1 DH — premissa; formação CONDICIONADA a quórum, lote 5)</t>
        </is>
      </c>
    </row>
    <row r="53" ht="28" customHeight="1">
      <c r="B53" s="18" t="inlineStr">
        <is>
          <t>DH 14</t>
        </is>
      </c>
      <c r="C53" s="67" t="n">
        <v>46316</v>
      </c>
      <c r="D53" s="67" t="n">
        <v>46330</v>
      </c>
      <c r="E53" s="25" t="inlineStr">
        <is>
          <t>Seg-Sex</t>
        </is>
      </c>
      <c r="F53" s="25" t="inlineStr">
        <is>
          <t>20h (premissa; alternativa 22h)</t>
        </is>
      </c>
      <c r="G53" s="25" t="n">
        <v>10</v>
      </c>
      <c r="H53" s="25" t="inlineStr">
        <is>
          <t>Sala 2</t>
        </is>
      </c>
      <c r="I53" s="25" t="inlineStr">
        <is>
          <t>20-40</t>
        </is>
      </c>
      <c r="J53" s="68" t="inlineStr">
        <is>
          <t>PS 27 e PS 28 (regra 2 PS = 1 DH — premissa; formação CONDICIONADA a quórum, lote 5)</t>
        </is>
      </c>
    </row>
    <row r="54" ht="28" customHeight="1">
      <c r="B54" s="18" t="inlineStr">
        <is>
          <t>DH 15</t>
        </is>
      </c>
      <c r="C54" s="67" t="n">
        <v>46316</v>
      </c>
      <c r="D54" s="67" t="n">
        <v>46330</v>
      </c>
      <c r="E54" s="25" t="inlineStr">
        <is>
          <t>Seg-Sex</t>
        </is>
      </c>
      <c r="F54" s="25" t="inlineStr">
        <is>
          <t>20h (premissa; alternativa 22h)</t>
        </is>
      </c>
      <c r="G54" s="25" t="n">
        <v>10</v>
      </c>
      <c r="H54" s="25" t="inlineStr">
        <is>
          <t>Sala 3</t>
        </is>
      </c>
      <c r="I54" s="25" t="inlineStr">
        <is>
          <t>20-40</t>
        </is>
      </c>
      <c r="J54" s="68" t="inlineStr">
        <is>
          <t>PS 29 e PS 30 (regra 2 PS = 1 DH — premissa; formação CONDICIONADA a quórum, lote 5)</t>
        </is>
      </c>
    </row>
  </sheetData>
  <mergeCells count="4">
    <mergeCell ref="B38:J38"/>
    <mergeCell ref="B3:J3"/>
    <mergeCell ref="B5:J5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395"/>
    <outlinePr summaryBelow="1" summaryRight="1"/>
    <pageSetUpPr/>
  </sheetPr>
  <dimension ref="B2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" customWidth="1" min="10" max="10"/>
  </cols>
  <sheetData>
    <row r="2" ht="28" customHeight="1">
      <c r="B2" s="1" t="inlineStr">
        <is>
          <t>OFICINA DE GESTÃO (OG) — DUAS VARIANTES, NENHUMA CONFIRMADA</t>
        </is>
      </c>
    </row>
    <row r="3">
      <c r="B3" s="2" t="inlineStr">
        <is>
          <t>B1 (espaço adicional) x B2 (mesmas salas do DH) — ver comparativo completo (datas, conflitos, risco) na aba 07_CENARIO_B</t>
        </is>
      </c>
    </row>
    <row r="5">
      <c r="B5" s="17" t="inlineStr">
        <is>
          <t>VARIANTE B1 — 3 ESPAÇOS ADICIONAIS DEDICADOS (NÃO CONFIRMADO)</t>
        </is>
      </c>
    </row>
    <row r="6" ht="30" customHeight="1">
      <c r="B6" s="27" t="inlineStr">
        <is>
          <t>Turma</t>
        </is>
      </c>
      <c r="C6" s="27" t="inlineStr">
        <is>
          <t>Espaço</t>
        </is>
      </c>
      <c r="D6" s="27" t="inlineStr">
        <is>
          <t>Início</t>
        </is>
      </c>
      <c r="E6" s="27" t="inlineStr">
        <is>
          <t>Término</t>
        </is>
      </c>
      <c r="F6" s="27" t="inlineStr">
        <is>
          <t>Carga
horária</t>
        </is>
      </c>
      <c r="G6" s="27" t="inlineStr">
        <is>
          <t>Encontros</t>
        </is>
      </c>
      <c r="H6" s="27" t="inlineStr">
        <is>
          <t>Nº aprox.
participantes</t>
        </is>
      </c>
      <c r="I6" s="27" t="inlineStr">
        <is>
          <t>Predecessora</t>
        </is>
      </c>
      <c r="J6" s="27" t="inlineStr">
        <is>
          <t>Classificação</t>
        </is>
      </c>
    </row>
    <row r="7" ht="16" customHeight="1">
      <c r="B7" s="18" t="inlineStr">
        <is>
          <t>OG 1</t>
        </is>
      </c>
      <c r="C7" s="9" t="inlineStr">
        <is>
          <t>Espaço OG 1 (ADICIONAL, não confirmado)</t>
        </is>
      </c>
      <c r="D7" s="67" t="n">
        <v>46276</v>
      </c>
      <c r="E7" s="67" t="n">
        <v>46279</v>
      </c>
      <c r="F7" s="25" t="inlineStr">
        <is>
          <t>4h</t>
        </is>
      </c>
      <c r="G7" s="25" t="n">
        <v>2</v>
      </c>
      <c r="H7" s="25" t="inlineStr">
        <is>
          <t>15-18</t>
        </is>
      </c>
      <c r="I7" s="25" t="inlineStr">
        <is>
          <t>DH 1 concluída</t>
        </is>
      </c>
    </row>
    <row r="8" ht="16" customHeight="1">
      <c r="B8" s="18" t="inlineStr">
        <is>
          <t>OG 2</t>
        </is>
      </c>
      <c r="C8" s="9" t="inlineStr">
        <is>
          <t>Espaço OG 2 (ADICIONAL, não confirmado)</t>
        </is>
      </c>
      <c r="D8" s="67" t="n">
        <v>46276</v>
      </c>
      <c r="E8" s="67" t="n">
        <v>46279</v>
      </c>
      <c r="F8" s="25" t="inlineStr">
        <is>
          <t>4h</t>
        </is>
      </c>
      <c r="G8" s="25" t="n">
        <v>2</v>
      </c>
      <c r="H8" s="25" t="inlineStr">
        <is>
          <t>15-18</t>
        </is>
      </c>
      <c r="I8" s="25" t="inlineStr">
        <is>
          <t>DH 2 concluída</t>
        </is>
      </c>
    </row>
    <row r="9" ht="16" customHeight="1">
      <c r="B9" s="18" t="inlineStr">
        <is>
          <t>OG 3</t>
        </is>
      </c>
      <c r="C9" s="9" t="inlineStr">
        <is>
          <t>Espaço OG 3 (ADICIONAL, não confirmado)</t>
        </is>
      </c>
      <c r="D9" s="67" t="n">
        <v>46276</v>
      </c>
      <c r="E9" s="67" t="n">
        <v>46279</v>
      </c>
      <c r="F9" s="25" t="inlineStr">
        <is>
          <t>4h</t>
        </is>
      </c>
      <c r="G9" s="25" t="n">
        <v>2</v>
      </c>
      <c r="H9" s="25" t="inlineStr">
        <is>
          <t>15-18</t>
        </is>
      </c>
      <c r="I9" s="25" t="inlineStr">
        <is>
          <t>DH 3 concluída</t>
        </is>
      </c>
    </row>
    <row r="10" ht="16" customHeight="1">
      <c r="B10" s="18" t="inlineStr">
        <is>
          <t>OG 4</t>
        </is>
      </c>
      <c r="C10" s="9" t="inlineStr">
        <is>
          <t>Espaço OG 1 (ADICIONAL, não confirmado)</t>
        </is>
      </c>
      <c r="D10" s="67" t="n">
        <v>46293</v>
      </c>
      <c r="E10" s="67" t="n">
        <v>46294</v>
      </c>
      <c r="F10" s="25" t="inlineStr">
        <is>
          <t>4h</t>
        </is>
      </c>
      <c r="G10" s="25" t="n">
        <v>2</v>
      </c>
      <c r="H10" s="25" t="inlineStr">
        <is>
          <t>15-18</t>
        </is>
      </c>
      <c r="I10" s="25" t="inlineStr">
        <is>
          <t>DH 4 concluída</t>
        </is>
      </c>
    </row>
    <row r="11" ht="16" customHeight="1">
      <c r="B11" s="18" t="inlineStr">
        <is>
          <t>OG 5</t>
        </is>
      </c>
      <c r="C11" s="9" t="inlineStr">
        <is>
          <t>Espaço OG 2 (ADICIONAL, não confirmado)</t>
        </is>
      </c>
      <c r="D11" s="67" t="n">
        <v>46293</v>
      </c>
      <c r="E11" s="67" t="n">
        <v>46294</v>
      </c>
      <c r="F11" s="25" t="inlineStr">
        <is>
          <t>4h</t>
        </is>
      </c>
      <c r="G11" s="25" t="n">
        <v>2</v>
      </c>
      <c r="H11" s="25" t="inlineStr">
        <is>
          <t>15-18</t>
        </is>
      </c>
      <c r="I11" s="25" t="inlineStr">
        <is>
          <t>DH 5 concluída</t>
        </is>
      </c>
    </row>
    <row r="12" ht="16" customHeight="1">
      <c r="B12" s="18" t="inlineStr">
        <is>
          <t>OG 6</t>
        </is>
      </c>
      <c r="C12" s="9" t="inlineStr">
        <is>
          <t>Espaço OG 3 (ADICIONAL, não confirmado)</t>
        </is>
      </c>
      <c r="D12" s="67" t="n">
        <v>46293</v>
      </c>
      <c r="E12" s="67" t="n">
        <v>46294</v>
      </c>
      <c r="F12" s="25" t="inlineStr">
        <is>
          <t>4h</t>
        </is>
      </c>
      <c r="G12" s="25" t="n">
        <v>2</v>
      </c>
      <c r="H12" s="25" t="inlineStr">
        <is>
          <t>15-18</t>
        </is>
      </c>
      <c r="I12" s="25" t="inlineStr">
        <is>
          <t>DH 6 concluída</t>
        </is>
      </c>
    </row>
    <row r="13" ht="16" customHeight="1">
      <c r="B13" s="18" t="inlineStr">
        <is>
          <t>OG 7</t>
        </is>
      </c>
      <c r="C13" s="9" t="inlineStr">
        <is>
          <t>Espaço OG 1 (ADICIONAL, não confirmado)</t>
        </is>
      </c>
      <c r="D13" s="67" t="n">
        <v>46308</v>
      </c>
      <c r="E13" s="67" t="n">
        <v>46309</v>
      </c>
      <c r="F13" s="25" t="inlineStr">
        <is>
          <t>4h</t>
        </is>
      </c>
      <c r="G13" s="25" t="n">
        <v>2</v>
      </c>
      <c r="H13" s="25" t="inlineStr">
        <is>
          <t>15-18</t>
        </is>
      </c>
      <c r="I13" s="25" t="inlineStr">
        <is>
          <t>DH 7 concluída</t>
        </is>
      </c>
    </row>
    <row r="14" ht="16" customHeight="1">
      <c r="B14" s="18" t="inlineStr">
        <is>
          <t>OG 8</t>
        </is>
      </c>
      <c r="C14" s="9" t="inlineStr">
        <is>
          <t>Espaço OG 2 (ADICIONAL, não confirmado)</t>
        </is>
      </c>
      <c r="D14" s="67" t="n">
        <v>46308</v>
      </c>
      <c r="E14" s="67" t="n">
        <v>46309</v>
      </c>
      <c r="F14" s="25" t="inlineStr">
        <is>
          <t>4h</t>
        </is>
      </c>
      <c r="G14" s="25" t="n">
        <v>2</v>
      </c>
      <c r="H14" s="25" t="inlineStr">
        <is>
          <t>15-18</t>
        </is>
      </c>
      <c r="I14" s="25" t="inlineStr">
        <is>
          <t>DH 8 concluída</t>
        </is>
      </c>
    </row>
    <row r="15" ht="16" customHeight="1">
      <c r="B15" s="18" t="inlineStr">
        <is>
          <t>OG 9</t>
        </is>
      </c>
      <c r="C15" s="9" t="inlineStr">
        <is>
          <t>Espaço OG 3 (ADICIONAL, não confirmado)</t>
        </is>
      </c>
      <c r="D15" s="67" t="n">
        <v>46308</v>
      </c>
      <c r="E15" s="67" t="n">
        <v>46309</v>
      </c>
      <c r="F15" s="25" t="inlineStr">
        <is>
          <t>4h</t>
        </is>
      </c>
      <c r="G15" s="25" t="n">
        <v>2</v>
      </c>
      <c r="H15" s="25" t="inlineStr">
        <is>
          <t>15-18</t>
        </is>
      </c>
      <c r="I15" s="25" t="inlineStr">
        <is>
          <t>DH 9 concluída</t>
        </is>
      </c>
    </row>
    <row r="16" ht="16" customHeight="1">
      <c r="B16" s="18" t="inlineStr">
        <is>
          <t>OG 10</t>
        </is>
      </c>
      <c r="C16" s="9" t="inlineStr">
        <is>
          <t>Espaço OG 1 (ADICIONAL, não confirmado)</t>
        </is>
      </c>
      <c r="D16" s="67" t="n">
        <v>46322</v>
      </c>
      <c r="E16" s="67" t="n">
        <v>46323</v>
      </c>
      <c r="F16" s="25" t="inlineStr">
        <is>
          <t>4h</t>
        </is>
      </c>
      <c r="G16" s="25" t="n">
        <v>2</v>
      </c>
      <c r="H16" s="25" t="inlineStr">
        <is>
          <t>15-18</t>
        </is>
      </c>
      <c r="I16" s="25" t="inlineStr">
        <is>
          <t>DH 10 concluída</t>
        </is>
      </c>
    </row>
    <row r="17" ht="16" customHeight="1">
      <c r="B17" s="18" t="inlineStr">
        <is>
          <t>OG 11</t>
        </is>
      </c>
      <c r="C17" s="9" t="inlineStr">
        <is>
          <t>Espaço OG 2 (ADICIONAL, não confirmado)</t>
        </is>
      </c>
      <c r="D17" s="67" t="n">
        <v>46322</v>
      </c>
      <c r="E17" s="67" t="n">
        <v>46323</v>
      </c>
      <c r="F17" s="25" t="inlineStr">
        <is>
          <t>4h</t>
        </is>
      </c>
      <c r="G17" s="25" t="n">
        <v>2</v>
      </c>
      <c r="H17" s="25" t="inlineStr">
        <is>
          <t>15-18</t>
        </is>
      </c>
      <c r="I17" s="25" t="inlineStr">
        <is>
          <t>DH 11 concluída</t>
        </is>
      </c>
    </row>
    <row r="18" ht="16" customHeight="1">
      <c r="B18" s="18" t="inlineStr">
        <is>
          <t>OG 12</t>
        </is>
      </c>
      <c r="C18" s="9" t="inlineStr">
        <is>
          <t>Espaço OG 3 (ADICIONAL, não confirmado)</t>
        </is>
      </c>
      <c r="D18" s="67" t="n">
        <v>46322</v>
      </c>
      <c r="E18" s="67" t="n">
        <v>46323</v>
      </c>
      <c r="F18" s="25" t="inlineStr">
        <is>
          <t>4h</t>
        </is>
      </c>
      <c r="G18" s="25" t="n">
        <v>2</v>
      </c>
      <c r="H18" s="25" t="inlineStr">
        <is>
          <t>15-18</t>
        </is>
      </c>
      <c r="I18" s="25" t="inlineStr">
        <is>
          <t>DH 12 concluída</t>
        </is>
      </c>
    </row>
    <row r="19" ht="16" customHeight="1">
      <c r="B19" s="18" t="inlineStr">
        <is>
          <t>OG 13</t>
        </is>
      </c>
      <c r="C19" s="9" t="inlineStr">
        <is>
          <t>Espaço OG 1 (ADICIONAL, não confirmado)</t>
        </is>
      </c>
      <c r="D19" s="67" t="n">
        <v>46337</v>
      </c>
      <c r="E19" s="67" t="n">
        <v>46338</v>
      </c>
      <c r="F19" s="25" t="inlineStr">
        <is>
          <t>4h</t>
        </is>
      </c>
      <c r="G19" s="25" t="n">
        <v>2</v>
      </c>
      <c r="H19" s="25" t="inlineStr">
        <is>
          <t>15-18</t>
        </is>
      </c>
      <c r="I19" s="25" t="inlineStr">
        <is>
          <t>DH 13 concluída</t>
        </is>
      </c>
    </row>
    <row r="20" ht="16" customHeight="1">
      <c r="B20" s="18" t="inlineStr">
        <is>
          <t>OG 14</t>
        </is>
      </c>
      <c r="C20" s="9" t="inlineStr">
        <is>
          <t>Espaço OG 2 (ADICIONAL, não confirmado)</t>
        </is>
      </c>
      <c r="D20" s="67" t="n">
        <v>46337</v>
      </c>
      <c r="E20" s="67" t="n">
        <v>46338</v>
      </c>
      <c r="F20" s="25" t="inlineStr">
        <is>
          <t>4h</t>
        </is>
      </c>
      <c r="G20" s="25" t="n">
        <v>2</v>
      </c>
      <c r="H20" s="25" t="inlineStr">
        <is>
          <t>15-18</t>
        </is>
      </c>
      <c r="I20" s="25" t="inlineStr">
        <is>
          <t>DH 14 concluída</t>
        </is>
      </c>
    </row>
    <row r="21" ht="16" customHeight="1">
      <c r="B21" s="18" t="inlineStr">
        <is>
          <t>OG 15</t>
        </is>
      </c>
      <c r="C21" s="9" t="inlineStr">
        <is>
          <t>Espaço OG 3 (ADICIONAL, não confirmado)</t>
        </is>
      </c>
      <c r="D21" s="67" t="n">
        <v>46337</v>
      </c>
      <c r="E21" s="67" t="n">
        <v>46338</v>
      </c>
      <c r="F21" s="25" t="inlineStr">
        <is>
          <t>4h</t>
        </is>
      </c>
      <c r="G21" s="25" t="n">
        <v>2</v>
      </c>
      <c r="H21" s="25" t="inlineStr">
        <is>
          <t>15-18</t>
        </is>
      </c>
      <c r="I21" s="25" t="inlineStr">
        <is>
          <t>DH 15 concluída</t>
        </is>
      </c>
    </row>
    <row r="23">
      <c r="B23" s="17" t="inlineStr">
        <is>
          <t>VARIANTE B2 — MESMAS 3 SALAS DO DH (após o fim total da fase de DH)</t>
        </is>
      </c>
    </row>
    <row r="24" ht="30" customHeight="1">
      <c r="B24" s="27" t="inlineStr">
        <is>
          <t>Turma</t>
        </is>
      </c>
      <c r="C24" s="27" t="inlineStr">
        <is>
          <t>Sala</t>
        </is>
      </c>
      <c r="D24" s="27" t="inlineStr">
        <is>
          <t>Início</t>
        </is>
      </c>
      <c r="E24" s="27" t="inlineStr">
        <is>
          <t>Término</t>
        </is>
      </c>
      <c r="F24" s="27" t="inlineStr">
        <is>
          <t>Carga
horária</t>
        </is>
      </c>
      <c r="G24" s="27" t="inlineStr">
        <is>
          <t>Encontros</t>
        </is>
      </c>
      <c r="H24" s="27" t="inlineStr">
        <is>
          <t>Nº aprox.
participantes</t>
        </is>
      </c>
      <c r="I24" s="27" t="inlineStr">
        <is>
          <t>Predecessora</t>
        </is>
      </c>
      <c r="J24" s="27" t="inlineStr">
        <is>
          <t>Classificação</t>
        </is>
      </c>
    </row>
    <row r="25" ht="16" customHeight="1">
      <c r="B25" s="18" t="inlineStr">
        <is>
          <t>OG 1</t>
        </is>
      </c>
      <c r="C25" s="25" t="inlineStr">
        <is>
          <t>Sala 1</t>
        </is>
      </c>
      <c r="D25" s="67" t="n">
        <v>46331</v>
      </c>
      <c r="E25" s="67" t="n">
        <v>46332</v>
      </c>
      <c r="F25" s="25" t="inlineStr">
        <is>
          <t>4h</t>
        </is>
      </c>
      <c r="G25" s="25" t="n">
        <v>2</v>
      </c>
      <c r="H25" s="25" t="inlineStr">
        <is>
          <t>15-18</t>
        </is>
      </c>
      <c r="I25" s="25" t="inlineStr">
        <is>
          <t>DH 1 concluída</t>
        </is>
      </c>
    </row>
    <row r="26" ht="16" customHeight="1">
      <c r="B26" s="18" t="inlineStr">
        <is>
          <t>OG 2</t>
        </is>
      </c>
      <c r="C26" s="25" t="inlineStr">
        <is>
          <t>Sala 2</t>
        </is>
      </c>
      <c r="D26" s="67" t="n">
        <v>46331</v>
      </c>
      <c r="E26" s="67" t="n">
        <v>46332</v>
      </c>
      <c r="F26" s="25" t="inlineStr">
        <is>
          <t>4h</t>
        </is>
      </c>
      <c r="G26" s="25" t="n">
        <v>2</v>
      </c>
      <c r="H26" s="25" t="inlineStr">
        <is>
          <t>15-18</t>
        </is>
      </c>
      <c r="I26" s="25" t="inlineStr">
        <is>
          <t>DH 2 concluída</t>
        </is>
      </c>
    </row>
    <row r="27" ht="16" customHeight="1">
      <c r="B27" s="18" t="inlineStr">
        <is>
          <t>OG 3</t>
        </is>
      </c>
      <c r="C27" s="25" t="inlineStr">
        <is>
          <t>Sala 3</t>
        </is>
      </c>
      <c r="D27" s="67" t="n">
        <v>46331</v>
      </c>
      <c r="E27" s="67" t="n">
        <v>46332</v>
      </c>
      <c r="F27" s="25" t="inlineStr">
        <is>
          <t>4h</t>
        </is>
      </c>
      <c r="G27" s="25" t="n">
        <v>2</v>
      </c>
      <c r="H27" s="25" t="inlineStr">
        <is>
          <t>15-18</t>
        </is>
      </c>
      <c r="I27" s="25" t="inlineStr">
        <is>
          <t>DH 3 concluída</t>
        </is>
      </c>
    </row>
    <row r="28" ht="16" customHeight="1">
      <c r="B28" s="18" t="inlineStr">
        <is>
          <t>OG 4</t>
        </is>
      </c>
      <c r="C28" s="25" t="inlineStr">
        <is>
          <t>Sala 1</t>
        </is>
      </c>
      <c r="D28" s="67" t="n">
        <v>46335</v>
      </c>
      <c r="E28" s="67" t="n">
        <v>46336</v>
      </c>
      <c r="F28" s="25" t="inlineStr">
        <is>
          <t>4h</t>
        </is>
      </c>
      <c r="G28" s="25" t="n">
        <v>2</v>
      </c>
      <c r="H28" s="25" t="inlineStr">
        <is>
          <t>15-18</t>
        </is>
      </c>
      <c r="I28" s="25" t="inlineStr">
        <is>
          <t>DH 4 concluída</t>
        </is>
      </c>
    </row>
    <row r="29" ht="16" customHeight="1">
      <c r="B29" s="18" t="inlineStr">
        <is>
          <t>OG 5</t>
        </is>
      </c>
      <c r="C29" s="25" t="inlineStr">
        <is>
          <t>Sala 2</t>
        </is>
      </c>
      <c r="D29" s="67" t="n">
        <v>46335</v>
      </c>
      <c r="E29" s="67" t="n">
        <v>46336</v>
      </c>
      <c r="F29" s="25" t="inlineStr">
        <is>
          <t>4h</t>
        </is>
      </c>
      <c r="G29" s="25" t="n">
        <v>2</v>
      </c>
      <c r="H29" s="25" t="inlineStr">
        <is>
          <t>15-18</t>
        </is>
      </c>
      <c r="I29" s="25" t="inlineStr">
        <is>
          <t>DH 5 concluída</t>
        </is>
      </c>
    </row>
    <row r="30" ht="16" customHeight="1">
      <c r="B30" s="18" t="inlineStr">
        <is>
          <t>OG 6</t>
        </is>
      </c>
      <c r="C30" s="25" t="inlineStr">
        <is>
          <t>Sala 3</t>
        </is>
      </c>
      <c r="D30" s="67" t="n">
        <v>46335</v>
      </c>
      <c r="E30" s="67" t="n">
        <v>46336</v>
      </c>
      <c r="F30" s="25" t="inlineStr">
        <is>
          <t>4h</t>
        </is>
      </c>
      <c r="G30" s="25" t="n">
        <v>2</v>
      </c>
      <c r="H30" s="25" t="inlineStr">
        <is>
          <t>15-18</t>
        </is>
      </c>
      <c r="I30" s="25" t="inlineStr">
        <is>
          <t>DH 6 concluída</t>
        </is>
      </c>
    </row>
    <row r="31" ht="16" customHeight="1">
      <c r="B31" s="18" t="inlineStr">
        <is>
          <t>OG 7</t>
        </is>
      </c>
      <c r="C31" s="25" t="inlineStr">
        <is>
          <t>Sala 1</t>
        </is>
      </c>
      <c r="D31" s="67" t="n">
        <v>46337</v>
      </c>
      <c r="E31" s="67" t="n">
        <v>46338</v>
      </c>
      <c r="F31" s="25" t="inlineStr">
        <is>
          <t>4h</t>
        </is>
      </c>
      <c r="G31" s="25" t="n">
        <v>2</v>
      </c>
      <c r="H31" s="25" t="inlineStr">
        <is>
          <t>15-18</t>
        </is>
      </c>
      <c r="I31" s="25" t="inlineStr">
        <is>
          <t>DH 7 concluída</t>
        </is>
      </c>
    </row>
    <row r="32" ht="16" customHeight="1">
      <c r="B32" s="18" t="inlineStr">
        <is>
          <t>OG 8</t>
        </is>
      </c>
      <c r="C32" s="25" t="inlineStr">
        <is>
          <t>Sala 2</t>
        </is>
      </c>
      <c r="D32" s="67" t="n">
        <v>46337</v>
      </c>
      <c r="E32" s="67" t="n">
        <v>46338</v>
      </c>
      <c r="F32" s="25" t="inlineStr">
        <is>
          <t>4h</t>
        </is>
      </c>
      <c r="G32" s="25" t="n">
        <v>2</v>
      </c>
      <c r="H32" s="25" t="inlineStr">
        <is>
          <t>15-18</t>
        </is>
      </c>
      <c r="I32" s="25" t="inlineStr">
        <is>
          <t>DH 8 concluída</t>
        </is>
      </c>
    </row>
    <row r="33" ht="16" customHeight="1">
      <c r="B33" s="18" t="inlineStr">
        <is>
          <t>OG 9</t>
        </is>
      </c>
      <c r="C33" s="25" t="inlineStr">
        <is>
          <t>Sala 3</t>
        </is>
      </c>
      <c r="D33" s="67" t="n">
        <v>46337</v>
      </c>
      <c r="E33" s="67" t="n">
        <v>46338</v>
      </c>
      <c r="F33" s="25" t="inlineStr">
        <is>
          <t>4h</t>
        </is>
      </c>
      <c r="G33" s="25" t="n">
        <v>2</v>
      </c>
      <c r="H33" s="25" t="inlineStr">
        <is>
          <t>15-18</t>
        </is>
      </c>
      <c r="I33" s="25" t="inlineStr">
        <is>
          <t>DH 9 concluída</t>
        </is>
      </c>
    </row>
    <row r="34" ht="16" customHeight="1">
      <c r="B34" s="18" t="inlineStr">
        <is>
          <t>OG 10</t>
        </is>
      </c>
      <c r="C34" s="25" t="inlineStr">
        <is>
          <t>Sala 1</t>
        </is>
      </c>
      <c r="D34" s="67" t="n">
        <v>46339</v>
      </c>
      <c r="E34" s="67" t="n">
        <v>46342</v>
      </c>
      <c r="F34" s="25" t="inlineStr">
        <is>
          <t>4h</t>
        </is>
      </c>
      <c r="G34" s="25" t="n">
        <v>2</v>
      </c>
      <c r="H34" s="25" t="inlineStr">
        <is>
          <t>15-18</t>
        </is>
      </c>
      <c r="I34" s="25" t="inlineStr">
        <is>
          <t>DH 10 concluída</t>
        </is>
      </c>
    </row>
    <row r="35" ht="16" customHeight="1">
      <c r="B35" s="18" t="inlineStr">
        <is>
          <t>OG 11</t>
        </is>
      </c>
      <c r="C35" s="25" t="inlineStr">
        <is>
          <t>Sala 2</t>
        </is>
      </c>
      <c r="D35" s="67" t="n">
        <v>46339</v>
      </c>
      <c r="E35" s="67" t="n">
        <v>46342</v>
      </c>
      <c r="F35" s="25" t="inlineStr">
        <is>
          <t>4h</t>
        </is>
      </c>
      <c r="G35" s="25" t="n">
        <v>2</v>
      </c>
      <c r="H35" s="25" t="inlineStr">
        <is>
          <t>15-18</t>
        </is>
      </c>
      <c r="I35" s="25" t="inlineStr">
        <is>
          <t>DH 11 concluída</t>
        </is>
      </c>
    </row>
    <row r="36" ht="16" customHeight="1">
      <c r="B36" s="18" t="inlineStr">
        <is>
          <t>OG 12</t>
        </is>
      </c>
      <c r="C36" s="25" t="inlineStr">
        <is>
          <t>Sala 3</t>
        </is>
      </c>
      <c r="D36" s="67" t="n">
        <v>46339</v>
      </c>
      <c r="E36" s="67" t="n">
        <v>46342</v>
      </c>
      <c r="F36" s="25" t="inlineStr">
        <is>
          <t>4h</t>
        </is>
      </c>
      <c r="G36" s="25" t="n">
        <v>2</v>
      </c>
      <c r="H36" s="25" t="inlineStr">
        <is>
          <t>15-18</t>
        </is>
      </c>
      <c r="I36" s="25" t="inlineStr">
        <is>
          <t>DH 12 concluída</t>
        </is>
      </c>
    </row>
    <row r="37" ht="16" customHeight="1">
      <c r="B37" s="18" t="inlineStr">
        <is>
          <t>OG 13</t>
        </is>
      </c>
      <c r="C37" s="25" t="inlineStr">
        <is>
          <t>Sala 1</t>
        </is>
      </c>
      <c r="D37" s="67" t="n">
        <v>46343</v>
      </c>
      <c r="E37" s="67" t="n">
        <v>46344</v>
      </c>
      <c r="F37" s="25" t="inlineStr">
        <is>
          <t>4h</t>
        </is>
      </c>
      <c r="G37" s="25" t="n">
        <v>2</v>
      </c>
      <c r="H37" s="25" t="inlineStr">
        <is>
          <t>15-18</t>
        </is>
      </c>
      <c r="I37" s="25" t="inlineStr">
        <is>
          <t>DH 13 concluída</t>
        </is>
      </c>
    </row>
    <row r="38" ht="16" customHeight="1">
      <c r="B38" s="18" t="inlineStr">
        <is>
          <t>OG 14</t>
        </is>
      </c>
      <c r="C38" s="25" t="inlineStr">
        <is>
          <t>Sala 2</t>
        </is>
      </c>
      <c r="D38" s="67" t="n">
        <v>46343</v>
      </c>
      <c r="E38" s="67" t="n">
        <v>46344</v>
      </c>
      <c r="F38" s="25" t="inlineStr">
        <is>
          <t>4h</t>
        </is>
      </c>
      <c r="G38" s="25" t="n">
        <v>2</v>
      </c>
      <c r="H38" s="25" t="inlineStr">
        <is>
          <t>15-18</t>
        </is>
      </c>
      <c r="I38" s="25" t="inlineStr">
        <is>
          <t>DH 14 concluída</t>
        </is>
      </c>
    </row>
    <row r="39" ht="16" customHeight="1">
      <c r="B39" s="18" t="inlineStr">
        <is>
          <t>OG 15</t>
        </is>
      </c>
      <c r="C39" s="25" t="inlineStr">
        <is>
          <t>Sala 3</t>
        </is>
      </c>
      <c r="D39" s="67" t="n">
        <v>46343</v>
      </c>
      <c r="E39" s="67" t="n">
        <v>46344</v>
      </c>
      <c r="F39" s="25" t="inlineStr">
        <is>
          <t>4h</t>
        </is>
      </c>
      <c r="G39" s="25" t="n">
        <v>2</v>
      </c>
      <c r="H39" s="25" t="inlineStr">
        <is>
          <t>15-18</t>
        </is>
      </c>
      <c r="I39" s="25" t="inlineStr">
        <is>
          <t>DH 15 concluída</t>
        </is>
      </c>
    </row>
    <row r="41" ht="34" customHeight="1">
      <c r="B41" s="92" t="inlineStr">
        <is>
          <t>Nenhuma das duas variantes está confirmada. Enquanto não houver decisão da coordenação sobre o espaço físico, as demais abas (10, 11, 12) usam a variante B1 como referência de trabalho, por ser a mais rápida — não porque esteja aprovada.</t>
        </is>
      </c>
    </row>
  </sheetData>
  <mergeCells count="5">
    <mergeCell ref="B2:I2"/>
    <mergeCell ref="B3:I3"/>
    <mergeCell ref="B5:I5"/>
    <mergeCell ref="B23:I23"/>
    <mergeCell ref="B41:I4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5395"/>
    <outlinePr summaryBelow="1" summaryRight="1"/>
    <pageSetUpPr/>
  </sheetPr>
  <dimension ref="B2:P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22" customWidth="1" min="10" max="10"/>
    <col width="13" customWidth="1" min="11" max="11"/>
    <col width="13" customWidth="1" min="12" max="12"/>
    <col width="13" customWidth="1" min="13" max="13"/>
    <col width="13" customWidth="1" min="14" max="14"/>
    <col width="20" customWidth="1" min="15" max="15"/>
    <col width="3" customWidth="1" min="16" max="16"/>
  </cols>
  <sheetData>
    <row r="2" ht="28" customHeight="1">
      <c r="B2" s="1" t="inlineStr">
        <is>
          <t>CURSOS TÉCNICOS (CT) — TODAS AS DATAS SÃO PROPOSTA PARA SIMULAÇÃO</t>
        </is>
      </c>
    </row>
    <row r="3">
      <c r="B3" s="2" t="inlineStr">
        <is>
          <t>Nenhuma data aqui é compromisso oficial — pendente de quórum, contratação e validação do fornecedor. 10 turmas confirmadas na planilha operacional; meta contratual do PDF macro é 13 (ver aba 02).</t>
        </is>
      </c>
    </row>
    <row r="5" ht="30" customHeight="1">
      <c r="B5" s="27" t="inlineStr">
        <is>
          <t>Sigla</t>
        </is>
      </c>
      <c r="C5" s="27" t="inlineStr">
        <is>
          <t>Tema</t>
        </is>
      </c>
      <c r="D5" s="27" t="inlineStr">
        <is>
          <t>Início
(proposto)</t>
        </is>
      </c>
      <c r="E5" s="27" t="inlineStr">
        <is>
          <t>Término
(proposto)</t>
        </is>
      </c>
      <c r="F5" s="27" t="inlineStr">
        <is>
          <t>Carga
horária</t>
        </is>
      </c>
      <c r="G5" s="27" t="inlineStr">
        <is>
          <t>Encontros</t>
        </is>
      </c>
      <c r="H5" s="27" t="inlineStr">
        <is>
          <t>DH concluídas
antes da abertura</t>
        </is>
      </c>
      <c r="I5" s="27" t="inlineStr">
        <is>
          <t>Participantes
estimados disponíveis</t>
        </is>
      </c>
      <c r="J5" s="27" t="inlineStr">
        <is>
          <t>Quórum
mínimo</t>
        </is>
      </c>
      <c r="K5" s="27" t="inlineStr">
        <is>
          <t>Fornecedor / Local</t>
        </is>
      </c>
      <c r="L5" s="27" t="inlineStr">
        <is>
          <t>Fornecedor
confirmado?</t>
        </is>
      </c>
      <c r="M5" s="27" t="inlineStr">
        <is>
          <t>Local
confirmado?</t>
        </is>
      </c>
      <c r="N5" s="27" t="inlineStr">
        <is>
          <t>Data
validada?</t>
        </is>
      </c>
      <c r="O5" s="27" t="inlineStr">
        <is>
          <t>Responsável pela
validação</t>
        </is>
      </c>
      <c r="P5" s="27" t="inlineStr">
        <is>
          <t>Classificação</t>
        </is>
      </c>
    </row>
    <row r="6" ht="40" customHeight="1">
      <c r="B6" s="18" t="inlineStr">
        <is>
          <t>CT1a</t>
        </is>
      </c>
      <c r="C6" s="9" t="inlineStr">
        <is>
          <t>Corte e Costura</t>
        </is>
      </c>
      <c r="D6" s="67" t="n">
        <v>46293</v>
      </c>
      <c r="E6" s="67" t="n">
        <v>46302</v>
      </c>
      <c r="F6" s="25" t="inlineStr">
        <is>
          <t>32h</t>
        </is>
      </c>
      <c r="G6" s="25" t="n">
        <v>8</v>
      </c>
      <c r="H6" s="25" t="n">
        <v>6</v>
      </c>
      <c r="I6" s="25" t="inlineStr">
        <is>
          <t>~180 (estim.)</t>
        </is>
      </c>
      <c r="J6" s="25" t="inlineStr">
        <is>
          <t>15-18</t>
        </is>
      </c>
      <c r="K6" s="9" t="inlineStr">
        <is>
          <t>Fundo Social / SENAI</t>
        </is>
      </c>
      <c r="L6" s="20" t="inlineStr">
        <is>
          <t>Sim</t>
        </is>
      </c>
      <c r="M6" s="20" t="inlineStr">
        <is>
          <t>Sim</t>
        </is>
      </c>
      <c r="N6" s="70" t="inlineStr">
        <is>
          <t>Não</t>
        </is>
      </c>
      <c r="O6" s="9" t="inlineStr">
        <is>
          <t>Coordenação de parcerias / fornecedor</t>
        </is>
      </c>
      <c r="P6" s="12" t="inlineStr">
        <is>
          <t>Condicionado à validação</t>
        </is>
      </c>
    </row>
    <row r="7" ht="40" customHeight="1">
      <c r="B7" s="18" t="inlineStr">
        <is>
          <t>CT1b</t>
        </is>
      </c>
      <c r="C7" s="9" t="inlineStr">
        <is>
          <t>Corte e Costura</t>
        </is>
      </c>
      <c r="D7" s="67" t="n">
        <v>46308</v>
      </c>
      <c r="E7" s="67" t="n">
        <v>46317</v>
      </c>
      <c r="F7" s="25" t="inlineStr">
        <is>
          <t>32h</t>
        </is>
      </c>
      <c r="G7" s="25" t="n">
        <v>8</v>
      </c>
      <c r="H7" s="25" t="n">
        <v>9</v>
      </c>
      <c r="I7" s="25" t="inlineStr">
        <is>
          <t>~270 (estim.)</t>
        </is>
      </c>
      <c r="J7" s="25" t="inlineStr">
        <is>
          <t>15-18</t>
        </is>
      </c>
      <c r="K7" s="9" t="inlineStr">
        <is>
          <t>Fundo Social / SENAI</t>
        </is>
      </c>
      <c r="L7" s="20" t="inlineStr">
        <is>
          <t>Sim</t>
        </is>
      </c>
      <c r="M7" s="20" t="inlineStr">
        <is>
          <t>Sim</t>
        </is>
      </c>
      <c r="N7" s="70" t="inlineStr">
        <is>
          <t>Não</t>
        </is>
      </c>
      <c r="O7" s="9" t="inlineStr">
        <is>
          <t>Coordenação de parcerias / fornecedor</t>
        </is>
      </c>
      <c r="P7" s="12" t="inlineStr">
        <is>
          <t>Condicionado à validação</t>
        </is>
      </c>
    </row>
    <row r="8" ht="40" customHeight="1">
      <c r="B8" s="18" t="inlineStr">
        <is>
          <t>CT3</t>
        </is>
      </c>
      <c r="C8" s="9" t="inlineStr">
        <is>
          <t>Beleza / Unhas</t>
        </is>
      </c>
      <c r="D8" s="67" t="n">
        <v>46321</v>
      </c>
      <c r="E8" s="67" t="n">
        <v>46335</v>
      </c>
      <c r="F8" s="25" t="inlineStr">
        <is>
          <t>40h</t>
        </is>
      </c>
      <c r="G8" s="25" t="n">
        <v>10</v>
      </c>
      <c r="H8" s="25" t="n">
        <v>12</v>
      </c>
      <c r="I8" s="25" t="inlineStr">
        <is>
          <t>~360 (estim.)</t>
        </is>
      </c>
      <c r="J8" s="25" t="inlineStr">
        <is>
          <t>15-18</t>
        </is>
      </c>
      <c r="K8" s="9" t="inlineStr">
        <is>
          <t>Fundo Social / SENAC</t>
        </is>
      </c>
      <c r="L8" s="20" t="inlineStr">
        <is>
          <t>Sim</t>
        </is>
      </c>
      <c r="M8" s="20" t="inlineStr">
        <is>
          <t>Sim</t>
        </is>
      </c>
      <c r="N8" s="70" t="inlineStr">
        <is>
          <t>Não</t>
        </is>
      </c>
      <c r="O8" s="9" t="inlineStr">
        <is>
          <t>Coordenação de parcerias / fornecedor</t>
        </is>
      </c>
      <c r="P8" s="12" t="inlineStr">
        <is>
          <t>Condicionado à validação</t>
        </is>
      </c>
    </row>
    <row r="9" ht="40" customHeight="1">
      <c r="B9" s="18" t="inlineStr">
        <is>
          <t>CT5</t>
        </is>
      </c>
      <c r="C9" s="9" t="inlineStr">
        <is>
          <t>Beleza / Cabelos Cacheados e Crespos</t>
        </is>
      </c>
      <c r="D9" s="67" t="n">
        <v>46338</v>
      </c>
      <c r="E9" s="67" t="n">
        <v>46358</v>
      </c>
      <c r="F9" s="25" t="inlineStr">
        <is>
          <t>56h</t>
        </is>
      </c>
      <c r="G9" s="25" t="n">
        <v>14</v>
      </c>
      <c r="H9" s="25" t="n">
        <v>15</v>
      </c>
      <c r="I9" s="25" t="inlineStr">
        <is>
          <t>~450 (estim.)</t>
        </is>
      </c>
      <c r="J9" s="25" t="inlineStr">
        <is>
          <t>15-18</t>
        </is>
      </c>
      <c r="K9" s="9" t="inlineStr">
        <is>
          <t>Fundo Social / SENAC</t>
        </is>
      </c>
      <c r="L9" s="20" t="inlineStr">
        <is>
          <t>Sim</t>
        </is>
      </c>
      <c r="M9" s="20" t="inlineStr">
        <is>
          <t>Sim</t>
        </is>
      </c>
      <c r="N9" s="70" t="inlineStr">
        <is>
          <t>Não</t>
        </is>
      </c>
      <c r="O9" s="9" t="inlineStr">
        <is>
          <t>Coordenação de parcerias / fornecedor</t>
        </is>
      </c>
      <c r="P9" s="12" t="inlineStr">
        <is>
          <t>Condicionado à validação</t>
        </is>
      </c>
    </row>
    <row r="10" ht="40" customHeight="1">
      <c r="B10" s="18" t="inlineStr">
        <is>
          <t>CT4a</t>
        </is>
      </c>
      <c r="C10" s="9" t="inlineStr">
        <is>
          <t>Preparacao de Alimentos</t>
        </is>
      </c>
      <c r="D10" s="67" t="n">
        <v>46363</v>
      </c>
      <c r="E10" s="67" t="n">
        <v>46401</v>
      </c>
      <c r="F10" s="25" t="inlineStr">
        <is>
          <t>56h</t>
        </is>
      </c>
      <c r="G10" s="25" t="n">
        <v>14</v>
      </c>
      <c r="H10" s="25" t="n">
        <v>15</v>
      </c>
      <c r="I10" s="25" t="inlineStr">
        <is>
          <t>~450 (estim.)</t>
        </is>
      </c>
      <c r="J10" s="25" t="inlineStr">
        <is>
          <t>15-18</t>
        </is>
      </c>
      <c r="K10" s="9" t="inlineStr">
        <is>
          <t>Fundo Social / SENAC</t>
        </is>
      </c>
      <c r="L10" s="20" t="inlineStr">
        <is>
          <t>Sim</t>
        </is>
      </c>
      <c r="M10" s="20" t="inlineStr">
        <is>
          <t>Sim</t>
        </is>
      </c>
      <c r="N10" s="70" t="inlineStr">
        <is>
          <t>Não</t>
        </is>
      </c>
      <c r="O10" s="9" t="inlineStr">
        <is>
          <t>Coordenação de parcerias / fornecedor</t>
        </is>
      </c>
      <c r="P10" s="12" t="inlineStr">
        <is>
          <t>Condicionado à validação</t>
        </is>
      </c>
    </row>
    <row r="11" ht="40" customHeight="1">
      <c r="B11" s="18" t="inlineStr">
        <is>
          <t>CT4b</t>
        </is>
      </c>
      <c r="C11" s="9" t="inlineStr">
        <is>
          <t>Preparacao de Alimentos</t>
        </is>
      </c>
      <c r="D11" s="67" t="n">
        <v>46405</v>
      </c>
      <c r="E11" s="67" t="n">
        <v>46422</v>
      </c>
      <c r="F11" s="25" t="inlineStr">
        <is>
          <t>56h</t>
        </is>
      </c>
      <c r="G11" s="25" t="n">
        <v>14</v>
      </c>
      <c r="H11" s="25" t="n">
        <v>15</v>
      </c>
      <c r="I11" s="25" t="inlineStr">
        <is>
          <t>~450 (estim.)</t>
        </is>
      </c>
      <c r="J11" s="25" t="inlineStr">
        <is>
          <t>15-18</t>
        </is>
      </c>
      <c r="K11" s="9" t="inlineStr">
        <is>
          <t>Fundo Social / SENAC</t>
        </is>
      </c>
      <c r="L11" s="20" t="inlineStr">
        <is>
          <t>Sim</t>
        </is>
      </c>
      <c r="M11" s="20" t="inlineStr">
        <is>
          <t>Sim</t>
        </is>
      </c>
      <c r="N11" s="70" t="inlineStr">
        <is>
          <t>Não</t>
        </is>
      </c>
      <c r="O11" s="9" t="inlineStr">
        <is>
          <t>Coordenação de parcerias / fornecedor</t>
        </is>
      </c>
      <c r="P11" s="12" t="inlineStr">
        <is>
          <t>Condicionado à validação</t>
        </is>
      </c>
    </row>
    <row r="12" ht="40" customHeight="1">
      <c r="B12" s="18" t="inlineStr">
        <is>
          <t>CT7a</t>
        </is>
      </c>
      <c r="C12" s="9" t="inlineStr">
        <is>
          <t>Eletrica</t>
        </is>
      </c>
      <c r="D12" s="67" t="n">
        <v>46293</v>
      </c>
      <c r="E12" s="67" t="n">
        <v>46321</v>
      </c>
      <c r="F12" s="25" t="inlineStr">
        <is>
          <t>80h</t>
        </is>
      </c>
      <c r="G12" s="25" t="n">
        <v>20</v>
      </c>
      <c r="H12" s="25" t="n">
        <v>6</v>
      </c>
      <c r="I12" s="25" t="inlineStr">
        <is>
          <t>~180 (estim.)</t>
        </is>
      </c>
      <c r="J12" s="25" t="inlineStr">
        <is>
          <t>14-16</t>
        </is>
      </c>
      <c r="K12" s="9" t="inlineStr">
        <is>
          <t>SENAI Paulinia</t>
        </is>
      </c>
      <c r="L12" s="20" t="inlineStr">
        <is>
          <t>Sim</t>
        </is>
      </c>
      <c r="M12" s="20" t="inlineStr">
        <is>
          <t>Sim</t>
        </is>
      </c>
      <c r="N12" s="70" t="inlineStr">
        <is>
          <t>Não</t>
        </is>
      </c>
      <c r="O12" s="9" t="inlineStr">
        <is>
          <t>Coordenação de parcerias / fornecedor</t>
        </is>
      </c>
      <c r="P12" s="12" t="inlineStr">
        <is>
          <t>Condicionado à validação</t>
        </is>
      </c>
    </row>
    <row r="13" ht="40" customHeight="1">
      <c r="B13" s="18" t="inlineStr">
        <is>
          <t>CT7b</t>
        </is>
      </c>
      <c r="C13" s="9" t="inlineStr">
        <is>
          <t>Eletrica</t>
        </is>
      </c>
      <c r="D13" s="67" t="n">
        <v>46324</v>
      </c>
      <c r="E13" s="67" t="n">
        <v>46353</v>
      </c>
      <c r="F13" s="25" t="inlineStr">
        <is>
          <t>80h</t>
        </is>
      </c>
      <c r="G13" s="25" t="n">
        <v>20</v>
      </c>
      <c r="H13" s="25" t="n">
        <v>12</v>
      </c>
      <c r="I13" s="25" t="inlineStr">
        <is>
          <t>~360 (estim.)</t>
        </is>
      </c>
      <c r="J13" s="25" t="inlineStr">
        <is>
          <t>14-16</t>
        </is>
      </c>
      <c r="K13" s="9" t="inlineStr">
        <is>
          <t>SENAI Paulinia</t>
        </is>
      </c>
      <c r="L13" s="20" t="inlineStr">
        <is>
          <t>Sim</t>
        </is>
      </c>
      <c r="M13" s="20" t="inlineStr">
        <is>
          <t>Sim</t>
        </is>
      </c>
      <c r="N13" s="70" t="inlineStr">
        <is>
          <t>Não</t>
        </is>
      </c>
      <c r="O13" s="9" t="inlineStr">
        <is>
          <t>Coordenação de parcerias / fornecedor</t>
        </is>
      </c>
      <c r="P13" s="12" t="inlineStr">
        <is>
          <t>Condicionado à validação</t>
        </is>
      </c>
    </row>
    <row r="14" ht="40" customHeight="1">
      <c r="B14" s="18" t="inlineStr">
        <is>
          <t>CT6</t>
        </is>
      </c>
      <c r="C14" s="9" t="inlineStr">
        <is>
          <t>Automacao</t>
        </is>
      </c>
      <c r="D14" s="67" t="n">
        <v>46356</v>
      </c>
      <c r="E14" s="67" t="n">
        <v>46402</v>
      </c>
      <c r="F14" s="25" t="inlineStr">
        <is>
          <t>80h</t>
        </is>
      </c>
      <c r="G14" s="25" t="n">
        <v>20</v>
      </c>
      <c r="H14" s="25" t="n">
        <v>15</v>
      </c>
      <c r="I14" s="25" t="inlineStr">
        <is>
          <t>~450 (estim.)</t>
        </is>
      </c>
      <c r="J14" s="25" t="inlineStr">
        <is>
          <t>14-16</t>
        </is>
      </c>
      <c r="K14" s="9" t="inlineStr">
        <is>
          <t>SENAI Paulinia</t>
        </is>
      </c>
      <c r="L14" s="20" t="inlineStr">
        <is>
          <t>Sim</t>
        </is>
      </c>
      <c r="M14" s="20" t="inlineStr">
        <is>
          <t>Sim</t>
        </is>
      </c>
      <c r="N14" s="70" t="inlineStr">
        <is>
          <t>Não</t>
        </is>
      </c>
      <c r="O14" s="9" t="inlineStr">
        <is>
          <t>Coordenação de parcerias / fornecedor</t>
        </is>
      </c>
      <c r="P14" s="12" t="inlineStr">
        <is>
          <t>Condicionado à validação</t>
        </is>
      </c>
    </row>
    <row r="15" ht="40" customHeight="1">
      <c r="B15" s="18" t="inlineStr">
        <is>
          <t>CT2</t>
        </is>
      </c>
      <c r="C15" s="9" t="inlineStr">
        <is>
          <t>Jardinagem</t>
        </is>
      </c>
      <c r="D15" s="67" t="n">
        <v>46293</v>
      </c>
      <c r="E15" s="67" t="n">
        <v>46304</v>
      </c>
      <c r="F15" s="25" t="inlineStr">
        <is>
          <t>40h</t>
        </is>
      </c>
      <c r="G15" s="25" t="n">
        <v>10</v>
      </c>
      <c r="H15" s="25" t="n">
        <v>6</v>
      </c>
      <c r="I15" s="25" t="inlineStr">
        <is>
          <t>~180 (estim.)</t>
        </is>
      </c>
      <c r="J15" s="25" t="inlineStr">
        <is>
          <t>15-18</t>
        </is>
      </c>
      <c r="K15" s="93" t="inlineStr">
        <is>
          <t>? (fornecedor nao confirmado)</t>
        </is>
      </c>
      <c r="L15" s="70" t="inlineStr">
        <is>
          <t>Não</t>
        </is>
      </c>
      <c r="M15" s="70" t="inlineStr">
        <is>
          <t>Não</t>
        </is>
      </c>
      <c r="N15" s="70" t="inlineStr">
        <is>
          <t>Não</t>
        </is>
      </c>
      <c r="O15" s="9" t="inlineStr">
        <is>
          <t>Coordenação de parcerias / fornecedor</t>
        </is>
      </c>
      <c r="P15" s="12" t="inlineStr">
        <is>
          <t>Condicionado à validação</t>
        </is>
      </c>
    </row>
    <row r="17" ht="46" customHeight="1">
      <c r="B17" s="94" t="inlineStr">
        <is>
          <t>PENDENTE DE VALIDAÇÃO: 3 turmas adicionais necessárias para atingir a meta contratual de 13 turmas do PDF macro (Núcleo 2). Temas e fornecedores não definidos neste material — recomenda-se priorizar cursos com maior demanda identificada no diagnóstico de participantes. "Participantes estimados disponíveis" é uma estimativa cumulativa (nº de turmas de DH concluídas × 30 pessoas em média) — não desconta quem já ocupou vaga em outro curso técnico.</t>
        </is>
      </c>
    </row>
  </sheetData>
  <mergeCells count="3">
    <mergeCell ref="B17:O17"/>
    <mergeCell ref="B3:O3"/>
    <mergeCell ref="B2:O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5395"/>
    <outlinePr summaryBelow="1" summaryRight="1"/>
    <pageSetUpPr/>
  </sheetPr>
  <dimension ref="B2:F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42" customWidth="1" min="6" max="6"/>
    <col width="3" customWidth="1" min="7" max="7"/>
  </cols>
  <sheetData>
    <row r="2" ht="28" customHeight="1">
      <c r="B2" s="1" t="inlineStr">
        <is>
          <t>CURSO EAD E CONSULTORIA INDIVIDUAL (CI)</t>
        </is>
      </c>
    </row>
    <row r="3">
      <c r="B3" s="2" t="inlineStr">
        <is>
          <t>Etapas finais da trilha — Curso Técnico é pré-requisito para Consultoria Individual (confirmado no PDF macro)</t>
        </is>
      </c>
    </row>
    <row r="5" ht="30" customHeight="1">
      <c r="B5" s="27" t="inlineStr">
        <is>
          <t>Atividade</t>
        </is>
      </c>
      <c r="C5" s="27" t="inlineStr">
        <is>
          <t>Início</t>
        </is>
      </c>
      <c r="D5" s="27" t="inlineStr">
        <is>
          <t>Término</t>
        </is>
      </c>
      <c r="E5" s="27" t="inlineStr">
        <is>
          <t>Carga horária / Meta</t>
        </is>
      </c>
      <c r="F5" s="27" t="inlineStr">
        <is>
          <t>Observação</t>
        </is>
      </c>
    </row>
    <row r="6" ht="30" customHeight="1">
      <c r="B6" s="18" t="inlineStr">
        <is>
          <t>Curso EAD — Planejamento, Marketing e Finanças</t>
        </is>
      </c>
      <c r="C6" s="67" t="n">
        <v>46303</v>
      </c>
      <c r="D6" s="67" t="n">
        <v>46308</v>
      </c>
      <c r="E6" s="25" t="inlineStr">
        <is>
          <t>6h / 3 módulos</t>
        </is>
      </c>
      <c r="F6" s="9" t="inlineStr">
        <is>
          <t>Início estimado logo após a conclusão do primeiro Curso Técnico de cada trilha (autoinstrucional)</t>
        </is>
      </c>
    </row>
    <row r="8">
      <c r="B8" s="17" t="inlineStr">
        <is>
          <t>CALCULADORA DE CAPACIDADE — CONSULTORIA INDIVIDUAL (células amarelas são editáveis e recalculam sozinhas)</t>
        </is>
      </c>
    </row>
    <row r="9" ht="22" customHeight="1">
      <c r="B9" s="18" t="inlineStr">
        <is>
          <t>Meta de pessoas atendidas</t>
        </is>
      </c>
      <c r="C9" s="95" t="n">
        <v>150</v>
      </c>
      <c r="D9" s="9" t="inlineStr">
        <is>
          <t>Cruzado entre nota da planilha operacional (450 atend./3) e PDF macro (13 turmas = 150 pessoas)</t>
        </is>
      </c>
    </row>
    <row r="10" ht="22" customHeight="1">
      <c r="B10" s="18" t="inlineStr">
        <is>
          <t>Atendimentos por pessoa</t>
        </is>
      </c>
      <c r="C10" s="95" t="n">
        <v>3</v>
      </c>
      <c r="D10" s="9" t="inlineStr">
        <is>
          <t>Planilha operacional / nota J14</t>
        </is>
      </c>
    </row>
    <row r="11" ht="22" customHeight="1">
      <c r="B11" s="18" t="inlineStr">
        <is>
          <t>Horas por atendimento</t>
        </is>
      </c>
      <c r="C11" s="95" t="n">
        <v>1</v>
      </c>
      <c r="D11" s="9" t="inlineStr">
        <is>
          <t>Planilha operacional linha 14 (E14 = 1h)</t>
        </is>
      </c>
    </row>
    <row r="12" ht="22" customHeight="1">
      <c r="B12" s="18" t="inlineStr">
        <is>
          <t>Nº de consultores</t>
        </is>
      </c>
      <c r="C12" s="95" t="n">
        <v>2</v>
      </c>
      <c r="D12" s="9" t="inlineStr">
        <is>
          <t>PARÂMETRO EDITÁVEL — quantos profissionais atendem em paralelo</t>
        </is>
      </c>
    </row>
    <row r="13" ht="22" customHeight="1">
      <c r="B13" s="18" t="inlineStr">
        <is>
          <t>Horas de atendimento por consultor/dia</t>
        </is>
      </c>
      <c r="C13" s="95" t="n">
        <v>4</v>
      </c>
      <c r="D13" s="9" t="inlineStr">
        <is>
          <t>PARÂMETRO EDITÁVEL</t>
        </is>
      </c>
    </row>
    <row r="14" ht="22" customHeight="1">
      <c r="B14" s="18" t="inlineStr">
        <is>
          <t>Dias de atendimento por semana</t>
        </is>
      </c>
      <c r="C14" s="95" t="n">
        <v>5</v>
      </c>
      <c r="D14" s="9" t="inlineStr">
        <is>
          <t>PARÂMETRO EDITÁVEL</t>
        </is>
      </c>
    </row>
    <row r="15" ht="22" customHeight="1">
      <c r="B15" s="18" t="inlineStr">
        <is>
          <t>Atendimentos simultâneos (capacidade física de salas/espaços)</t>
        </is>
      </c>
      <c r="C15" s="95" t="n">
        <v>2</v>
      </c>
      <c r="D15" s="9" t="inlineStr">
        <is>
          <t>PARÂMETRO EDITÁVEL — pode ser menor que o nº de consultores se faltar espaço</t>
        </is>
      </c>
    </row>
    <row r="16" ht="22" customHeight="1">
      <c r="B16" s="18" t="inlineStr">
        <is>
          <t>Data de início da Consultoria Individual</t>
        </is>
      </c>
      <c r="C16" s="96" t="n">
        <v>46309</v>
      </c>
      <c r="D16" s="9" t="inlineStr">
        <is>
          <t>Uma semana após o primeiro Curso Técnico concluir (ver aba 14)</t>
        </is>
      </c>
    </row>
    <row r="17" ht="22" customHeight="1">
      <c r="B17" s="18" t="inlineStr">
        <is>
          <t>Data proposta para conclusão (meta da coordenação)</t>
        </is>
      </c>
      <c r="C17" s="96" t="n">
        <v>46422</v>
      </c>
      <c r="D17" s="9" t="inlineStr">
        <is>
          <t>EDITÁVEL — ajuste para a meta real da coordenação; aqui usamos o fim do último Curso Técnico como referência</t>
        </is>
      </c>
    </row>
    <row r="19">
      <c r="B19" s="17" t="inlineStr">
        <is>
          <t>RESULTADOS (calculados por fórmula)</t>
        </is>
      </c>
    </row>
    <row r="20" ht="24" customHeight="1">
      <c r="B20" s="18" t="inlineStr">
        <is>
          <t>Total de atendimentos necessários</t>
        </is>
      </c>
      <c r="C20" s="97">
        <f>C9*C10</f>
        <v/>
      </c>
      <c r="D20" s="9" t="inlineStr">
        <is>
          <t>Meta de pessoas × atendimentos por pessoa</t>
        </is>
      </c>
    </row>
    <row r="21" ht="24" customHeight="1">
      <c r="B21" s="18" t="inlineStr">
        <is>
          <t>Total de horas necessárias</t>
        </is>
      </c>
      <c r="C21" s="97">
        <f>C20*C11</f>
        <v/>
      </c>
      <c r="D21" s="9" t="inlineStr">
        <is>
          <t>Total de atendimentos × horas por atendimento</t>
        </is>
      </c>
    </row>
    <row r="22" ht="24" customHeight="1">
      <c r="B22" s="18" t="inlineStr">
        <is>
          <t>Capacidade paralela efetiva</t>
        </is>
      </c>
      <c r="C22" s="97">
        <f>MIN(C12,C15)</f>
        <v/>
      </c>
      <c r="D22" s="9" t="inlineStr">
        <is>
          <t>O menor entre nº de consultores e atendimentos simultâneos possíveis (espaço/sala)</t>
        </is>
      </c>
    </row>
    <row r="23" ht="24" customHeight="1">
      <c r="B23" s="18" t="inlineStr">
        <is>
          <t>Atendimentos possíveis por semana</t>
        </is>
      </c>
      <c r="C23" s="97">
        <f>C22*C13*C14/C11</f>
        <v/>
      </c>
      <c r="D23" s="9" t="inlineStr"/>
    </row>
    <row r="24" ht="24" customHeight="1">
      <c r="B24" s="18" t="inlineStr">
        <is>
          <t>Semanas necessárias para concluir a meta</t>
        </is>
      </c>
      <c r="C24" s="97">
        <f>ROUNDUP(C20/C23,0)</f>
        <v/>
      </c>
      <c r="D24" s="9" t="inlineStr">
        <is>
          <t>Arredondado para cima (semana parcial conta inteira)</t>
        </is>
      </c>
    </row>
    <row r="25" ht="24" customHeight="1">
      <c r="B25" s="18" t="inlineStr">
        <is>
          <t>Data de conclusão estimada (primeira data viável)</t>
        </is>
      </c>
      <c r="C25" s="98">
        <f>C16+C24*7</f>
        <v/>
      </c>
      <c r="D25" s="9" t="inlineStr"/>
    </row>
    <row r="26" ht="24" customHeight="1">
      <c r="B26" s="18" t="inlineStr">
        <is>
          <t>Cabe até a data proposta pela coordenação?</t>
        </is>
      </c>
      <c r="C26" s="97">
        <f>IF(C25&lt;=C17,"SIM — cabe até a data proposta","NÃO — primeira data viável é "&amp;TEXT(C25,"DD/MM/YYYY"))</f>
        <v/>
      </c>
      <c r="D26" s="9" t="inlineStr">
        <is>
          <t>Compara a data de conclusão estimada com a meta editável acima</t>
        </is>
      </c>
    </row>
    <row r="28" ht="40" customHeight="1">
      <c r="B28" s="5" t="inlineStr">
        <is>
          <t>Como usar: altere nº de consultores, horas/dia, dias/semana ou atendimentos simultâneos acima — os resultados recalculam automaticamente. Este cálculo NÃO considera o bloqueio do recesso institucional nas semanas contadas (simplificação); se o intervalo calculado cruzar o recesso, a data real de conclusão tende a ser um pouco mais tarde do que a fórmula indica.</t>
        </is>
      </c>
    </row>
  </sheetData>
  <mergeCells count="21">
    <mergeCell ref="D11:F11"/>
    <mergeCell ref="D13:F13"/>
    <mergeCell ref="B3:F3"/>
    <mergeCell ref="D17:F17"/>
    <mergeCell ref="D16:F16"/>
    <mergeCell ref="B2:F2"/>
    <mergeCell ref="D12:F12"/>
    <mergeCell ref="D9:F9"/>
    <mergeCell ref="B8:F8"/>
    <mergeCell ref="D25:F25"/>
    <mergeCell ref="D15:F15"/>
    <mergeCell ref="D24:F24"/>
    <mergeCell ref="D14:F14"/>
    <mergeCell ref="D23:F23"/>
    <mergeCell ref="B28:F28"/>
    <mergeCell ref="B19:F19"/>
    <mergeCell ref="D26:F26"/>
    <mergeCell ref="D20:F20"/>
    <mergeCell ref="D10:F10"/>
    <mergeCell ref="D22:F22"/>
    <mergeCell ref="D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B2:H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6" customWidth="1" min="5" max="5"/>
    <col width="16" customWidth="1" min="6" max="6"/>
    <col width="16" customWidth="1" min="7" max="7"/>
    <col width="26" customWidth="1" min="8" max="8"/>
    <col width="3" customWidth="1" min="9" max="9"/>
  </cols>
  <sheetData>
    <row r="2" ht="28" customHeight="1">
      <c r="B2" s="1" t="inlineStr">
        <is>
          <t>RISCOS, DIVERGÊNCIAS E DECISÕES PENDENTES</t>
        </is>
      </c>
    </row>
    <row r="3">
      <c r="B3" s="2" t="inlineStr">
        <is>
          <t>Quadro consolidado para acompanhamento com Instituto da Criança, Sebrae e Petrobras</t>
        </is>
      </c>
    </row>
    <row r="5" ht="30" customHeight="1">
      <c r="B5" s="27" t="inlineStr">
        <is>
          <t>Risco / Divergência</t>
        </is>
      </c>
      <c r="C5" s="27" t="inlineStr">
        <is>
          <t>Documentos envolvidos</t>
        </is>
      </c>
      <c r="D5" s="27" t="inlineStr">
        <is>
          <t>Impacto no cronograma</t>
        </is>
      </c>
      <c r="E5" s="27" t="inlineStr">
        <is>
          <t>Decisão necessária</t>
        </is>
      </c>
      <c r="F5" s="27" t="inlineStr">
        <is>
          <t>Responsável pela validação</t>
        </is>
      </c>
      <c r="G5" s="27" t="inlineStr">
        <is>
          <t>Status</t>
        </is>
      </c>
      <c r="H5" s="27" t="inlineStr">
        <is>
          <t>Recomendação provisória</t>
        </is>
      </c>
    </row>
    <row r="6" ht="80" customHeight="1">
      <c r="B6" s="8" t="inlineStr">
        <is>
          <t>Carga horária do DH indefinida (20h x 22h)</t>
        </is>
      </c>
      <c r="C6" s="9" t="inlineStr">
        <is>
          <t>Proposta (xlsx) + PDF macro vs. ata de reunião</t>
        </is>
      </c>
      <c r="D6" s="9" t="inlineStr">
        <is>
          <t>Muda a duração de cada uma das 15 turmas em até 1 semana, deslocando toda a cadeia OG→CT→EAD→CI.</t>
        </is>
      </c>
      <c r="E6" s="9" t="inlineStr">
        <is>
          <t>Confirmar por escrito a carga horária oficial do DH junto ao Sebrae.</t>
        </is>
      </c>
      <c r="F6" s="79" t="inlineStr">
        <is>
          <t>Coordenação / Sebrae</t>
        </is>
      </c>
      <c r="G6" s="99" t="inlineStr">
        <is>
          <t>Aberto</t>
        </is>
      </c>
      <c r="H6" s="9" t="inlineStr">
        <is>
          <t>Formalizar 20h por e-mail/ata assinada antes de comunicar datas à Petrobras.</t>
        </is>
      </c>
    </row>
    <row r="7" ht="80" customHeight="1">
      <c r="B7" s="8" t="inlineStr">
        <is>
          <t>Quantidade de turmas de Curso Técnico indefinida (10 x 13)</t>
        </is>
      </c>
      <c r="C7" s="9" t="inlineStr">
        <is>
          <t>Proposta (xlsx) vs. PDF macro</t>
        </is>
      </c>
      <c r="D7" s="9" t="inlineStr">
        <is>
          <t>Se 13 for a meta válida, é preciso contratar 3 novos fornecedores/turmas, o que pode adicionar 4-8 semanas ao cronograma de CT.</t>
        </is>
      </c>
      <c r="E7" s="9" t="inlineStr">
        <is>
          <t>Definir se a meta de 13 será cumprida em Paulínia e, em caso positivo, quais temas/fornecedores fecham a diferença.</t>
        </is>
      </c>
      <c r="F7" s="79" t="inlineStr">
        <is>
          <t>Coordenação / Instituto da Criança</t>
        </is>
      </c>
      <c r="G7" s="99" t="inlineStr">
        <is>
          <t>Aberto</t>
        </is>
      </c>
      <c r="H7" s="9" t="inlineStr">
        <is>
          <t>Levar a divergência à reunião de alinhamento com o Sebrae antes de fechar contratos.</t>
        </is>
      </c>
    </row>
    <row r="8" ht="80" customHeight="1">
      <c r="B8" s="8" t="inlineStr">
        <is>
          <t>Disponibilidade real de salas (2 x 3) não confirmada</t>
        </is>
      </c>
      <c r="C8" s="9" t="inlineStr">
        <is>
          <t>"Possibilidades de Cronograma" (3 salas) vs. briefing (2 ou 3)</t>
        </is>
      </c>
      <c r="D8" s="9" t="inlineStr">
        <is>
          <t>É a variável que mais impacta a duração da fase DH: 73 dias (cenário B, 3 salas) até 169 dias (cenário C, 2 salas).</t>
        </is>
      </c>
      <c r="E8" s="9" t="inlineStr">
        <is>
          <t>Confirmar contratualmente a disponibilidade exclusiva de 3 salas à noite, de segunda a sexta.</t>
        </is>
      </c>
      <c r="F8" s="79" t="inlineStr">
        <is>
          <t>Coordenação local / Espaço físico</t>
        </is>
      </c>
      <c r="G8" s="99" t="inlineStr">
        <is>
          <t>Aberto</t>
        </is>
      </c>
      <c r="H8" s="9" t="inlineStr">
        <is>
          <t>Usar o Cenário B como referência de negociação, mas manter D como contingência caso só 2 salas sejam viabilizadas.</t>
        </is>
      </c>
    </row>
    <row r="9" ht="80" customHeight="1">
      <c r="B9" s="8" t="inlineStr">
        <is>
          <t>Espaço físico para a Oficina de Gestão NÃO definido (B1 x B2)</t>
        </is>
      </c>
      <c r="C9" s="9" t="inlineStr">
        <is>
          <t>Achado desta análise — nenhum documento original cruzou a agenda de sala do DH com a da OG</t>
        </is>
      </c>
      <c r="D9" s="9" t="inlineStr">
        <is>
          <t>B1 precisa de 3 espaços adicionais (6 no total); B2 não precisa de espaço extra, mas atrasa a OG (e tudo que depende dela) até 04/11 ou depois.</t>
        </is>
      </c>
      <c r="E9" s="9" t="inlineStr">
        <is>
          <t>Decidir formalmente entre B1 e B2 (ver comparação completa na aba 07_CENARIO_B) antes de comunicar datas de OG a qualquer parceiro.</t>
        </is>
      </c>
      <c r="F9" s="79" t="inlineStr">
        <is>
          <t>Coordenação local / Espaço físico</t>
        </is>
      </c>
      <c r="G9" s="100" t="inlineStr">
        <is>
          <t>Aberto — decisão pendente</t>
        </is>
      </c>
      <c r="H9" s="9" t="inlineStr">
        <is>
          <t>Não apresentar nenhuma das duas variantes como definitiva até a decisão.</t>
        </is>
      </c>
    </row>
    <row r="10" ht="80" customHeight="1">
      <c r="B10" s="8" t="inlineStr">
        <is>
          <t>Regra de composição da Oficina de Gestão (15 x ~7-8 turmas)</t>
        </is>
      </c>
      <c r="C10" s="9" t="inlineStr">
        <is>
          <t>Proposta (xlsx), linha J5 vs. anotação A28</t>
        </is>
      </c>
      <c r="D10" s="9" t="inlineStr">
        <is>
          <t>Dobra ou reduz pela metade a necessidade de espaço/horário dedicado à OG (além da questão do espaço físico acima).</t>
        </is>
      </c>
      <c r="E10" s="9" t="inlineStr">
        <is>
          <t>Confirmar se cada DH gera sua própria OG (1:1) ou se as OG são formadas a partir de pares de turmas de DH.</t>
        </is>
      </c>
      <c r="F10" s="79" t="inlineStr">
        <is>
          <t>Coordenação pedagógica</t>
        </is>
      </c>
      <c r="G10" s="99" t="inlineStr">
        <is>
          <t>Aberto</t>
        </is>
      </c>
      <c r="H10" s="9" t="inlineStr">
        <is>
          <t>Assumir 1:1 (15 turmas) como premissa de trabalho até confirmação.</t>
        </is>
      </c>
    </row>
    <row r="11" ht="80" customHeight="1">
      <c r="B11" s="8" t="inlineStr">
        <is>
          <t>Formação de turma tratada como certa (sem risco de quórum)</t>
        </is>
      </c>
      <c r="C11" s="9" t="inlineStr">
        <is>
          <t>Nenhum dos 4 documentos discute o risco de uma Palestra não gerar quórum suficiente</t>
        </is>
      </c>
      <c r="D11" s="9" t="inlineStr">
        <is>
          <t>Um atraso de 7 dias no 1º lote de DH desloca a conclusão da 4ª turma entre +3 e +7 dias, dependendo de quanta folga natural existir entre lotes (ver simulação nas abas 06-09).</t>
        </is>
      </c>
      <c r="E11" s="9" t="inlineStr">
        <is>
          <t>Definir um protocolo de reagendamento/reforço de mobilização para Palestras que não atingirem quórum mínimo.</t>
        </is>
      </c>
      <c r="F11" s="79" t="inlineStr">
        <is>
          <t>Coordenação pedagógica / Facilitadores</t>
        </is>
      </c>
      <c r="G11" s="100" t="inlineStr">
        <is>
          <t>Aberto — novo</t>
        </is>
      </c>
      <c r="H11" s="9" t="inlineStr">
        <is>
          <t>Adotar os marcos de validação de quórum (aba 06-09) como checkpoint formal antes de cada lote.</t>
        </is>
      </c>
    </row>
    <row r="12" ht="80" customHeight="1">
      <c r="B12" s="8" t="inlineStr">
        <is>
          <t>Fornecedor de Jardinagem não definido</t>
        </is>
      </c>
      <c r="C12" s="9" t="inlineStr">
        <is>
          <t>"Possibilidades de Cronograma", célula R48 = "?"</t>
        </is>
      </c>
      <c r="D12" s="9" t="inlineStr">
        <is>
          <t>Turma de Jardinagem não pode ser comunicada aos participantes sem fornecedor e local confirmados.</t>
        </is>
      </c>
      <c r="E12" s="9" t="inlineStr">
        <is>
          <t>Selecionar e contratar fornecedor para o curso de Jardinagem.</t>
        </is>
      </c>
      <c r="F12" s="79" t="inlineStr">
        <is>
          <t>Coordenação de parcerias</t>
        </is>
      </c>
      <c r="G12" s="99" t="inlineStr">
        <is>
          <t>Aberto</t>
        </is>
      </c>
      <c r="H12" s="9" t="inlineStr">
        <is>
          <t>Priorizar a definição nas próximas 4 semanas, antes da 4ª turma de DH concluir.</t>
        </is>
      </c>
    </row>
    <row r="13" ht="80" customHeight="1">
      <c r="B13" s="8" t="inlineStr">
        <is>
          <t>Recesso institucional não confirmado formalmente</t>
        </is>
      </c>
      <c r="C13" s="9" t="inlineStr">
        <is>
          <t>Simulação de cenários (premissa observada)</t>
        </is>
      </c>
      <c r="D13" s="9" t="inlineStr">
        <is>
          <t>Cenários que se estendem para dezembro/janeiro podem precisar de ajuste fino de datas conforme o recesso real.</t>
        </is>
      </c>
      <c r="E13" s="9" t="inlineStr">
        <is>
          <t>Confirmar datas oficiais de recesso institucional 2026/2027.</t>
        </is>
      </c>
      <c r="F13" s="79" t="inlineStr">
        <is>
          <t>Administrativo / RH</t>
        </is>
      </c>
      <c r="G13" s="99" t="inlineStr">
        <is>
          <t>Aberto</t>
        </is>
      </c>
      <c r="H13" s="9" t="inlineStr">
        <is>
          <t>Manter 21/12/2026-08/01/2027 como premissa de planejamento; ajustar se o recesso oficial for diferente.</t>
        </is>
      </c>
    </row>
    <row r="14" ht="80" customHeight="1">
      <c r="B14" s="8" t="inlineStr">
        <is>
          <t>Prazo apertado até o início das Palestras</t>
        </is>
      </c>
      <c r="C14" s="9" t="inlineStr">
        <is>
          <t>Contexto do projeto — data atual 21/07/2026, início das PS em 11/08/2026</t>
        </is>
      </c>
      <c r="D14" s="9" t="inlineStr">
        <is>
          <t>Restam menos de 3 semanas até a primeira Palestra de Sensibilização; qualquer atraso na confirmação de salas/premissas comprime a mobilização.</t>
        </is>
      </c>
      <c r="E14" s="9" t="inlineStr">
        <is>
          <t>Validar premissas críticas (salas, carga horária do DH, espaço de OG) com urgência.</t>
        </is>
      </c>
      <c r="F14" s="79" t="inlineStr">
        <is>
          <t>Coordenação geral do projeto</t>
        </is>
      </c>
      <c r="G14" s="100" t="inlineStr">
        <is>
          <t>Aberto — urgente</t>
        </is>
      </c>
      <c r="H14" s="9" t="inlineStr">
        <is>
          <t>Tratar as pendências desta aba como prioridade das próximas 2 semanas.</t>
        </is>
      </c>
    </row>
    <row r="15" ht="80" customHeight="1">
      <c r="B15" s="8" t="inlineStr">
        <is>
          <t>Quórum mínimo dos cursos técnicos variável (14-18) vs. referência única de 16 citada em reunião</t>
        </is>
      </c>
      <c r="C15" s="9" t="inlineStr">
        <is>
          <t>Proposta (xlsx) vs. ata de reunião</t>
        </is>
      </c>
      <c r="D15" s="9" t="inlineStr">
        <is>
          <t>Se 16 for aplicado a todos os cursos, turmas com quórum planejado de 14-15 podem não abrir.</t>
        </is>
      </c>
      <c r="E15" s="9" t="inlineStr">
        <is>
          <t>Confirmar quórum mínimo por fornecedor/curso, não um valor único.</t>
        </is>
      </c>
      <c r="F15" s="79" t="inlineStr">
        <is>
          <t>Coordenação de parcerias</t>
        </is>
      </c>
      <c r="G15" s="99" t="inlineStr">
        <is>
          <t>Aberto</t>
        </is>
      </c>
      <c r="H15" s="9" t="inlineStr">
        <is>
          <t>Negociar quórum por curso com cada fornecedor antes de divulgar datas.</t>
        </is>
      </c>
    </row>
    <row r="16" ht="80" customHeight="1">
      <c r="B16" s="8" t="inlineStr">
        <is>
          <t>Capacidade da Consultoria Individual não verificada (V1)</t>
        </is>
      </c>
      <c r="C16" s="9" t="inlineStr">
        <is>
          <t>Ausente na V1 deste arquivo — apontado na revisão crítica</t>
        </is>
      </c>
      <c r="D16" s="9" t="inlineStr">
        <is>
          <t>Com os parâmetros padrão (2 consultores, 4h/dia, 5 dias/semana), a meta de 450 atendimentos leva ~12 semanas — pode ultrapassar a data que a coordenação tinha em mente.</t>
        </is>
      </c>
      <c r="E16" s="9" t="inlineStr">
        <is>
          <t>Definir nº real de consultores disponíveis e comparar com a calculadora da aba 15_EAD_CONSULTORIAS.</t>
        </is>
      </c>
      <c r="F16" s="79" t="inlineStr">
        <is>
          <t>Coordenação de parcerias / RH</t>
        </is>
      </c>
      <c r="G16" s="100" t="inlineStr">
        <is>
          <t>Aberto — novo</t>
        </is>
      </c>
      <c r="H16" s="9" t="inlineStr">
        <is>
          <t>Usar a calculadora da aba 15 para testar cenários de nº de consultores antes de comunicar prazo de conclusão da CI.</t>
        </is>
      </c>
    </row>
    <row r="17" ht="80" customHeight="1">
      <c r="B17" s="8" t="inlineStr">
        <is>
          <t>Recomendação do Cenário B tratada como aprovação (V1)</t>
        </is>
      </c>
      <c r="C17" s="9" t="inlineStr">
        <is>
          <t>Apontado na revisão crítica — texto da V1 usava "Altamente viável"</t>
        </is>
      </c>
      <c r="D17" s="9" t="inlineStr">
        <is>
          <t>Risco de a coordenação ou parceiros externos interpretarem o Cenário B como decisão fechada, sem as validações pendentes.</t>
        </is>
      </c>
      <c r="E17" s="9" t="inlineStr">
        <is>
          <t>Nenhuma — item já corrigido nesta V2 (ver aba 04 e 05).</t>
        </is>
      </c>
      <c r="F17" s="79" t="inlineStr">
        <is>
          <t>—</t>
        </is>
      </c>
      <c r="G17" s="101" t="inlineStr">
        <is>
          <t>Corrigido nesta V2</t>
        </is>
      </c>
      <c r="H17" s="9" t="inlineStr">
        <is>
          <t>Usar sempre o texto "menor duração — recomendado para negociação, condicionado à validação..." em qualquer material derivado deste arquivo.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B2:X4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3" customWidth="1" min="25" max="25"/>
  </cols>
  <sheetData>
    <row r="2" ht="26" customHeight="1">
      <c r="B2" s="1" t="inlineStr">
        <is>
          <t>GANTT EXECUTIVO — TRILHA COMPLETA (CENÁRIO B + VARIANTE B1 DE OG)</t>
        </is>
      </c>
    </row>
    <row r="3">
      <c r="B3" s="2" t="inlineStr">
        <is>
          <t>Grade semanal — cada coluna representa a segunda-feira da semana correspondente. Datas de CT são propostas para simulação.</t>
        </is>
      </c>
    </row>
    <row r="5" ht="46" customHeight="1">
      <c r="B5" s="6" t="inlineStr">
        <is>
          <t>Linha</t>
        </is>
      </c>
      <c r="C5" s="102" t="n">
        <v>46244</v>
      </c>
      <c r="D5" s="102" t="n">
        <v>46251</v>
      </c>
      <c r="E5" s="102" t="n">
        <v>46258</v>
      </c>
      <c r="F5" s="102" t="n">
        <v>46265</v>
      </c>
      <c r="G5" s="102" t="n">
        <v>46272</v>
      </c>
      <c r="H5" s="102" t="n">
        <v>46279</v>
      </c>
      <c r="I5" s="102" t="n">
        <v>46286</v>
      </c>
      <c r="J5" s="102" t="n">
        <v>46293</v>
      </c>
      <c r="K5" s="102" t="n">
        <v>46300</v>
      </c>
      <c r="L5" s="102" t="n">
        <v>46307</v>
      </c>
      <c r="M5" s="102" t="n">
        <v>46314</v>
      </c>
      <c r="N5" s="102" t="n">
        <v>46321</v>
      </c>
      <c r="O5" s="102" t="n">
        <v>46328</v>
      </c>
      <c r="P5" s="102" t="n">
        <v>46335</v>
      </c>
      <c r="Q5" s="102" t="n">
        <v>46342</v>
      </c>
      <c r="R5" s="102" t="n">
        <v>46349</v>
      </c>
      <c r="S5" s="102" t="n">
        <v>46356</v>
      </c>
      <c r="T5" s="102" t="n">
        <v>46363</v>
      </c>
      <c r="U5" s="102" t="n">
        <v>46370</v>
      </c>
      <c r="V5" s="102" t="n">
        <v>46377</v>
      </c>
      <c r="W5" s="102" t="n">
        <v>46384</v>
      </c>
      <c r="X5" s="102" t="n">
        <v>46391</v>
      </c>
    </row>
    <row r="6" ht="12" customHeight="1">
      <c r="B6" s="103" t="inlineStr">
        <is>
          <t>Palestras de Sensibilização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</row>
    <row r="7" ht="12" customHeight="1">
      <c r="B7" s="103" t="inlineStr">
        <is>
          <t>Desenvolvimento Humano (agregado)</t>
        </is>
      </c>
      <c r="C7" s="43" t="n"/>
      <c r="D7" s="43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</row>
    <row r="8" ht="12" customHeight="1">
      <c r="B8" s="104" t="inlineStr">
        <is>
          <t xml:space="preserve">  DH 1 (Sala 1)</t>
        </is>
      </c>
      <c r="C8" s="43" t="n"/>
      <c r="D8" s="43" t="n"/>
      <c r="E8" s="31" t="n"/>
      <c r="F8" s="31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</row>
    <row r="9" ht="12" customHeight="1">
      <c r="B9" s="104" t="inlineStr">
        <is>
          <t xml:space="preserve">  DH 2 (Sala 2)</t>
        </is>
      </c>
      <c r="C9" s="43" t="n"/>
      <c r="D9" s="43" t="n"/>
      <c r="E9" s="31" t="n"/>
      <c r="F9" s="31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</row>
    <row r="10" ht="12" customHeight="1">
      <c r="B10" s="104" t="inlineStr">
        <is>
          <t xml:space="preserve">  DH 3 (Sala 3)</t>
        </is>
      </c>
      <c r="C10" s="43" t="n"/>
      <c r="D10" s="43" t="n"/>
      <c r="E10" s="31" t="n"/>
      <c r="F10" s="31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</row>
    <row r="11" ht="12" customHeight="1">
      <c r="B11" s="104" t="inlineStr">
        <is>
          <t xml:space="preserve">  DH 4 (Sala 1)</t>
        </is>
      </c>
      <c r="C11" s="43" t="n"/>
      <c r="D11" s="43" t="n"/>
      <c r="E11" s="43" t="n"/>
      <c r="F11" s="43" t="n"/>
      <c r="G11" s="31" t="n"/>
      <c r="H11" s="31" t="n"/>
      <c r="I11" s="31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</row>
    <row r="12" ht="12" customHeight="1">
      <c r="B12" s="104" t="inlineStr">
        <is>
          <t xml:space="preserve">  DH 5 (Sala 2)</t>
        </is>
      </c>
      <c r="C12" s="43" t="n"/>
      <c r="D12" s="43" t="n"/>
      <c r="E12" s="43" t="n"/>
      <c r="F12" s="43" t="n"/>
      <c r="G12" s="31" t="n"/>
      <c r="H12" s="31" t="n"/>
      <c r="I12" s="31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</row>
    <row r="13" ht="12" customHeight="1">
      <c r="B13" s="104" t="inlineStr">
        <is>
          <t xml:space="preserve">  DH 6 (Sala 3)</t>
        </is>
      </c>
      <c r="C13" s="43" t="n"/>
      <c r="D13" s="43" t="n"/>
      <c r="E13" s="43" t="n"/>
      <c r="F13" s="43" t="n"/>
      <c r="G13" s="31" t="n"/>
      <c r="H13" s="31" t="n"/>
      <c r="I13" s="31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</row>
    <row r="14" ht="12" customHeight="1">
      <c r="B14" s="104" t="inlineStr">
        <is>
          <t xml:space="preserve">  DH 7 (Sala 1)</t>
        </is>
      </c>
      <c r="C14" s="43" t="n"/>
      <c r="D14" s="43" t="n"/>
      <c r="E14" s="43" t="n"/>
      <c r="F14" s="43" t="n"/>
      <c r="G14" s="43" t="n"/>
      <c r="H14" s="43" t="n"/>
      <c r="I14" s="31" t="n"/>
      <c r="J14" s="31" t="n"/>
      <c r="K14" s="31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</row>
    <row r="15" ht="12" customHeight="1">
      <c r="B15" s="104" t="inlineStr">
        <is>
          <t xml:space="preserve">  DH 8 (Sala 2)</t>
        </is>
      </c>
      <c r="C15" s="43" t="n"/>
      <c r="D15" s="43" t="n"/>
      <c r="E15" s="43" t="n"/>
      <c r="F15" s="43" t="n"/>
      <c r="G15" s="43" t="n"/>
      <c r="H15" s="43" t="n"/>
      <c r="I15" s="31" t="n"/>
      <c r="J15" s="31" t="n"/>
      <c r="K15" s="31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</row>
    <row r="16" ht="12" customHeight="1">
      <c r="B16" s="104" t="inlineStr">
        <is>
          <t xml:space="preserve">  DH 9 (Sala 3)</t>
        </is>
      </c>
      <c r="C16" s="43" t="n"/>
      <c r="D16" s="43" t="n"/>
      <c r="E16" s="43" t="n"/>
      <c r="F16" s="43" t="n"/>
      <c r="G16" s="43" t="n"/>
      <c r="H16" s="43" t="n"/>
      <c r="I16" s="31" t="n"/>
      <c r="J16" s="31" t="n"/>
      <c r="K16" s="31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</row>
    <row r="17" ht="12" customHeight="1">
      <c r="B17" s="104" t="inlineStr">
        <is>
          <t xml:space="preserve">  DH 10 (Sala 1)</t>
        </is>
      </c>
      <c r="C17" s="43" t="n"/>
      <c r="D17" s="43" t="n"/>
      <c r="E17" s="43" t="n"/>
      <c r="F17" s="43" t="n"/>
      <c r="G17" s="43" t="n"/>
      <c r="H17" s="43" t="n"/>
      <c r="I17" s="43" t="n"/>
      <c r="J17" s="43" t="n"/>
      <c r="K17" s="31" t="n"/>
      <c r="L17" s="31" t="n"/>
      <c r="M17" s="31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</row>
    <row r="18" ht="12" customHeight="1">
      <c r="B18" s="104" t="inlineStr">
        <is>
          <t xml:space="preserve">  DH 11 (Sala 2)</t>
        </is>
      </c>
      <c r="C18" s="43" t="n"/>
      <c r="D18" s="43" t="n"/>
      <c r="E18" s="43" t="n"/>
      <c r="F18" s="43" t="n"/>
      <c r="G18" s="43" t="n"/>
      <c r="H18" s="43" t="n"/>
      <c r="I18" s="43" t="n"/>
      <c r="J18" s="43" t="n"/>
      <c r="K18" s="31" t="n"/>
      <c r="L18" s="31" t="n"/>
      <c r="M18" s="31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</row>
    <row r="19" ht="12" customHeight="1">
      <c r="B19" s="104" t="inlineStr">
        <is>
          <t xml:space="preserve">  DH 12 (Sala 3)</t>
        </is>
      </c>
      <c r="C19" s="43" t="n"/>
      <c r="D19" s="43" t="n"/>
      <c r="E19" s="43" t="n"/>
      <c r="F19" s="43" t="n"/>
      <c r="G19" s="43" t="n"/>
      <c r="H19" s="43" t="n"/>
      <c r="I19" s="43" t="n"/>
      <c r="J19" s="43" t="n"/>
      <c r="K19" s="31" t="n"/>
      <c r="L19" s="31" t="n"/>
      <c r="M19" s="31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</row>
    <row r="20" ht="12" customHeight="1">
      <c r="B20" s="104" t="inlineStr">
        <is>
          <t xml:space="preserve">  DH 13 (Sala 1)</t>
        </is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31" t="n"/>
      <c r="N20" s="31" t="n"/>
      <c r="O20" s="31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</row>
    <row r="21" ht="12" customHeight="1">
      <c r="B21" s="104" t="inlineStr">
        <is>
          <t xml:space="preserve">  DH 14 (Sala 2)</t>
        </is>
      </c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31" t="n"/>
      <c r="N21" s="31" t="n"/>
      <c r="O21" s="31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</row>
    <row r="22" ht="12" customHeight="1">
      <c r="B22" s="104" t="inlineStr">
        <is>
          <t xml:space="preserve">  DH 15 (Sala 3)</t>
        </is>
      </c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31" t="n"/>
      <c r="N22" s="31" t="n"/>
      <c r="O22" s="31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</row>
    <row r="23" ht="12" customHeight="1">
      <c r="B23" s="103" t="inlineStr">
        <is>
          <t>Oficina de Gestão B1 (agregado, NÃO confirmado)</t>
        </is>
      </c>
      <c r="C23" s="43" t="n"/>
      <c r="D23" s="43" t="n"/>
      <c r="E23" s="43" t="n"/>
      <c r="F23" s="4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43" t="n"/>
      <c r="R23" s="43" t="n"/>
      <c r="S23" s="43" t="n"/>
      <c r="T23" s="43" t="n"/>
      <c r="U23" s="43" t="n"/>
      <c r="V23" s="43" t="n"/>
      <c r="W23" s="43" t="n"/>
      <c r="X23" s="43" t="n"/>
    </row>
    <row r="24" ht="12" customHeight="1">
      <c r="B24" s="104" t="inlineStr">
        <is>
          <t xml:space="preserve">  CT1a — Corte e Costura (proposta)</t>
        </is>
      </c>
      <c r="C24" s="43" t="n"/>
      <c r="D24" s="43" t="n"/>
      <c r="E24" s="43" t="n"/>
      <c r="F24" s="43" t="n"/>
      <c r="G24" s="43" t="n"/>
      <c r="H24" s="43" t="n"/>
      <c r="I24" s="43" t="n"/>
      <c r="J24" s="35" t="n"/>
      <c r="K24" s="35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</row>
    <row r="25" ht="12" customHeight="1">
      <c r="B25" s="104" t="inlineStr">
        <is>
          <t xml:space="preserve">  CT1b — Corte e Costura (proposta)</t>
        </is>
      </c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35" t="n"/>
      <c r="M25" s="35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</row>
    <row r="26" ht="12" customHeight="1">
      <c r="B26" s="104" t="inlineStr">
        <is>
          <t xml:space="preserve">  CT3 — Beleza / Unhas (proposta)</t>
        </is>
      </c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35" t="n"/>
      <c r="O26" s="35" t="n"/>
      <c r="P26" s="35" t="n"/>
      <c r="Q26" s="43" t="n"/>
      <c r="R26" s="43" t="n"/>
      <c r="S26" s="43" t="n"/>
      <c r="T26" s="43" t="n"/>
      <c r="U26" s="43" t="n"/>
      <c r="V26" s="43" t="n"/>
      <c r="W26" s="43" t="n"/>
      <c r="X26" s="43" t="n"/>
    </row>
    <row r="27" ht="12" customHeight="1">
      <c r="B27" s="104" t="inlineStr">
        <is>
          <t xml:space="preserve">  CT5 — Beleza / Cabelos Cache (proposta)</t>
        </is>
      </c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35" t="n"/>
      <c r="Q27" s="35" t="n"/>
      <c r="R27" s="35" t="n"/>
      <c r="S27" s="35" t="n"/>
      <c r="T27" s="43" t="n"/>
      <c r="U27" s="43" t="n"/>
      <c r="V27" s="43" t="n"/>
      <c r="W27" s="43" t="n"/>
      <c r="X27" s="43" t="n"/>
    </row>
    <row r="28" ht="12" customHeight="1">
      <c r="B28" s="104" t="inlineStr">
        <is>
          <t xml:space="preserve">  CT4a — Preparacao de Alimento (proposta)</t>
        </is>
      </c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35" t="n"/>
      <c r="U28" s="35" t="n"/>
      <c r="V28" s="35" t="n"/>
      <c r="W28" s="35" t="n"/>
      <c r="X28" s="35" t="n"/>
    </row>
    <row r="29" ht="12" customHeight="1">
      <c r="B29" s="104" t="inlineStr">
        <is>
          <t xml:space="preserve">  CT4b — Preparacao de Alimento (proposta)</t>
        </is>
      </c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</row>
    <row r="30" ht="12" customHeight="1">
      <c r="B30" s="104" t="inlineStr">
        <is>
          <t xml:space="preserve">  CT7a — Eletrica (proposta)</t>
        </is>
      </c>
      <c r="C30" s="43" t="n"/>
      <c r="D30" s="43" t="n"/>
      <c r="E30" s="43" t="n"/>
      <c r="F30" s="43" t="n"/>
      <c r="G30" s="43" t="n"/>
      <c r="H30" s="43" t="n"/>
      <c r="I30" s="43" t="n"/>
      <c r="J30" s="35" t="n"/>
      <c r="K30" s="35" t="n"/>
      <c r="L30" s="35" t="n"/>
      <c r="M30" s="35" t="n"/>
      <c r="N30" s="35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</row>
    <row r="31" ht="12" customHeight="1">
      <c r="B31" s="104" t="inlineStr">
        <is>
          <t xml:space="preserve">  CT7b — Eletrica (proposta)</t>
        </is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35" t="n"/>
      <c r="O31" s="35" t="n"/>
      <c r="P31" s="35" t="n"/>
      <c r="Q31" s="35" t="n"/>
      <c r="R31" s="35" t="n"/>
      <c r="S31" s="43" t="n"/>
      <c r="T31" s="43" t="n"/>
      <c r="U31" s="43" t="n"/>
      <c r="V31" s="43" t="n"/>
      <c r="W31" s="43" t="n"/>
      <c r="X31" s="43" t="n"/>
    </row>
    <row r="32" ht="12" customHeight="1">
      <c r="B32" s="104" t="inlineStr">
        <is>
          <t xml:space="preserve">  CT6 — Automacao (proposta)</t>
        </is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35" t="n"/>
      <c r="T32" s="35" t="n"/>
      <c r="U32" s="35" t="n"/>
      <c r="V32" s="35" t="n"/>
      <c r="W32" s="35" t="n"/>
      <c r="X32" s="35" t="n"/>
    </row>
    <row r="33" ht="12" customHeight="1">
      <c r="B33" s="104" t="inlineStr">
        <is>
          <t xml:space="preserve">  CT2 — Jardinagem (proposta)</t>
        </is>
      </c>
      <c r="C33" s="43" t="n"/>
      <c r="D33" s="43" t="n"/>
      <c r="E33" s="43" t="n"/>
      <c r="F33" s="43" t="n"/>
      <c r="G33" s="43" t="n"/>
      <c r="H33" s="43" t="n"/>
      <c r="I33" s="43" t="n"/>
      <c r="J33" s="35" t="n"/>
      <c r="K33" s="35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</row>
    <row r="34" ht="12" customHeight="1">
      <c r="B34" s="103" t="inlineStr">
        <is>
          <t>Curso EAD</t>
        </is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37" t="n"/>
      <c r="L34" s="37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</row>
    <row r="35" ht="12" customHeight="1">
      <c r="B35" s="103" t="inlineStr">
        <is>
          <t>Consultoria Individual (estimado, ver aba 15)</t>
        </is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</row>
    <row r="36" ht="12" customHeight="1">
      <c r="B36" s="103" t="inlineStr">
        <is>
          <t>Recesso institucional</t>
        </is>
      </c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58" t="n"/>
      <c r="W36" s="58" t="n"/>
      <c r="X36" s="58" t="n"/>
    </row>
    <row r="37" ht="12" customHeight="1">
      <c r="B37" s="103" t="inlineStr">
        <is>
          <t>Feriado: Independencia do Brasil</t>
        </is>
      </c>
      <c r="C37" s="43" t="n"/>
      <c r="D37" s="43" t="n"/>
      <c r="E37" s="43" t="n"/>
      <c r="F37" s="43" t="n"/>
      <c r="G37" s="58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</row>
    <row r="38" ht="12" customHeight="1">
      <c r="B38" s="103" t="inlineStr">
        <is>
          <t>Feriado: Nossa Senhora Aparecida</t>
        </is>
      </c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58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</row>
    <row r="39" ht="12" customHeight="1">
      <c r="B39" s="103" t="inlineStr">
        <is>
          <t>Feriado: Finados</t>
        </is>
      </c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58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</row>
    <row r="40" ht="12" customHeight="1">
      <c r="B40" s="103" t="inlineStr">
        <is>
          <t>Feriado: Consciencia Negra</t>
        </is>
      </c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58" t="n"/>
      <c r="R40" s="43" t="n"/>
      <c r="S40" s="43" t="n"/>
      <c r="T40" s="43" t="n"/>
      <c r="U40" s="43" t="n"/>
      <c r="V40" s="43" t="n"/>
      <c r="W40" s="43" t="n"/>
      <c r="X40" s="43" t="n"/>
    </row>
    <row r="41" ht="12" customHeight="1">
      <c r="B41" s="103" t="inlineStr">
        <is>
          <t>Feriado: Natal</t>
        </is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58" t="n"/>
      <c r="W41" s="43" t="n"/>
      <c r="X41" s="43" t="n"/>
    </row>
    <row r="42" ht="12" customHeight="1">
      <c r="B42" s="103" t="inlineStr">
        <is>
          <t>Feriado: Confraternizacao Universal</t>
        </is>
      </c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58" t="n"/>
      <c r="X42" s="43" t="n"/>
    </row>
  </sheetData>
  <mergeCells count="2">
    <mergeCell ref="B3:D3"/>
    <mergeCell ref="B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6B5C"/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" customWidth="1" min="10" max="10"/>
  </cols>
  <sheetData>
    <row r="2" ht="32" customHeight="1">
      <c r="B2" s="1" t="inlineStr">
        <is>
          <t>PARTIU! APRENDER E EMPREENDER — PAULÍNIA</t>
        </is>
      </c>
    </row>
    <row r="3">
      <c r="B3" s="2" t="inlineStr">
        <is>
          <t>Visão para parceiros (Sebrae / Petrobras) — página única, sem detalhamento operacional</t>
        </is>
      </c>
    </row>
    <row r="5" ht="46" customHeight="1">
      <c r="B5" s="105" t="inlineStr">
        <is>
          <t>OBJETIVO: organizar a trilha completa de capacitação em Paulínia (Núcleo 2) — da Palestra de Sensibilização à Consultoria Individual — em um cronograma auditável, comparando alternativas de execução e deixando claro o que já está confirmado e o que ainda depende de validação conjunta.</t>
        </is>
      </c>
    </row>
    <row r="7">
      <c r="B7" s="17" t="inlineStr">
        <is>
          <t>OS 4 CENÁRIOS AVALIADOS</t>
        </is>
      </c>
    </row>
    <row r="8" ht="30" customHeight="1">
      <c r="B8" s="27" t="inlineStr">
        <is>
          <t>Cenário</t>
        </is>
      </c>
      <c r="C8" s="27" t="inlineStr">
        <is>
          <t>Salas</t>
        </is>
      </c>
      <c r="D8" s="27" t="inlineStr">
        <is>
          <t>Frequência do DH</t>
        </is>
      </c>
      <c r="E8" s="27" t="inlineStr">
        <is>
          <t>Duração da fase de DH</t>
        </is>
      </c>
      <c r="F8" s="27" t="inlineStr">
        <is>
          <t>Leitura simples</t>
        </is>
      </c>
    </row>
    <row r="9" ht="26" customHeight="1">
      <c r="B9" s="18" t="inlineStr">
        <is>
          <t>Cenário A</t>
        </is>
      </c>
      <c r="C9" s="25" t="n">
        <v>3</v>
      </c>
      <c r="D9" s="25" t="inlineStr">
        <is>
          <t>2x por semana</t>
        </is>
      </c>
      <c r="E9" s="25" t="inlineStr">
        <is>
          <t>≈101 dias</t>
        </is>
      </c>
      <c r="F9" s="9" t="inlineStr">
        <is>
          <t>Viável, mas mais lento e mais próximo do recesso.</t>
        </is>
      </c>
    </row>
    <row r="10" ht="26" customHeight="1">
      <c r="B10" s="106" t="inlineStr">
        <is>
          <t>Cenário B</t>
        </is>
      </c>
      <c r="C10" s="20" t="n">
        <v>3</v>
      </c>
      <c r="D10" s="20" t="inlineStr">
        <is>
          <t>5x por semana</t>
        </is>
      </c>
      <c r="E10" s="20" t="inlineStr">
        <is>
          <t>≈73 dias</t>
        </is>
      </c>
      <c r="F10" s="107" t="inlineStr">
        <is>
          <t>Menor duração — recomendado para negociação, condicionado à validação.</t>
        </is>
      </c>
    </row>
    <row r="11" ht="26" customHeight="1">
      <c r="B11" s="18" t="inlineStr">
        <is>
          <t>Cenário C</t>
        </is>
      </c>
      <c r="C11" s="25" t="n">
        <v>2</v>
      </c>
      <c r="D11" s="25" t="inlineStr">
        <is>
          <t>2x por semana</t>
        </is>
      </c>
      <c r="E11" s="25" t="inlineStr">
        <is>
          <t>≈169 dias</t>
        </is>
      </c>
      <c r="F11" s="9" t="inlineStr">
        <is>
          <t>Não recomendado — atravessa o recesso e vai até fevereiro/2027.</t>
        </is>
      </c>
    </row>
    <row r="12" ht="26" customHeight="1">
      <c r="B12" s="18" t="inlineStr">
        <is>
          <t>Cenário D</t>
        </is>
      </c>
      <c r="C12" s="25" t="n">
        <v>2</v>
      </c>
      <c r="D12" s="25" t="inlineStr">
        <is>
          <t>5x por semana</t>
        </is>
      </c>
      <c r="E12" s="25" t="inlineStr">
        <is>
          <t>≈116 dias</t>
        </is>
      </c>
      <c r="F12" s="9" t="inlineStr">
        <is>
          <t>Alternativa de contingência, com pouca folga.</t>
        </is>
      </c>
    </row>
    <row r="14" ht="40" customHeight="1">
      <c r="B14" s="108" t="inlineStr">
        <is>
          <t>RECOMENDAÇÃO CONDICIONADA: Cenário B (3 salas, DH 5x/semana) — menor duração, recomendado para negociação, condicionado à validação de salas, facilitadores, adesão dos participantes e definição do espaço para a Oficina de Gestão. Não é uma decisão fechada.</t>
        </is>
      </c>
    </row>
    <row r="16">
      <c r="B16" s="17" t="inlineStr">
        <is>
          <t>LINHA DO TEMPO MACRO</t>
        </is>
      </c>
    </row>
    <row r="17" ht="30" customHeight="1">
      <c r="B17" s="6" t="inlineStr">
        <is>
          <t>Macro-fase</t>
        </is>
      </c>
      <c r="C17" s="6" t="inlineStr">
        <is>
          <t>AUG/26</t>
        </is>
      </c>
      <c r="D17" s="6" t="inlineStr">
        <is>
          <t>SEP/26</t>
        </is>
      </c>
      <c r="E17" s="6" t="inlineStr">
        <is>
          <t>OCT/26</t>
        </is>
      </c>
      <c r="F17" s="6" t="inlineStr">
        <is>
          <t>NOV/26</t>
        </is>
      </c>
      <c r="G17" s="6" t="inlineStr">
        <is>
          <t>DEC/26</t>
        </is>
      </c>
      <c r="H17" s="6" t="inlineStr">
        <is>
          <t>JAN/27</t>
        </is>
      </c>
      <c r="I17" s="6" t="inlineStr">
        <is>
          <t>FEB/27</t>
        </is>
      </c>
      <c r="J17" s="6" t="inlineStr">
        <is>
          <t>MAR/27</t>
        </is>
      </c>
    </row>
    <row r="18" ht="22" customHeight="1">
      <c r="B18" s="8" t="inlineStr">
        <is>
          <t>Palestras + Desenvolvimento Humano</t>
        </is>
      </c>
      <c r="C18" s="31" t="n"/>
      <c r="D18" s="31" t="n"/>
      <c r="E18" s="31" t="n"/>
      <c r="F18" s="31" t="n"/>
      <c r="G18" s="43" t="n"/>
      <c r="H18" s="43" t="n"/>
      <c r="I18" s="43" t="n"/>
      <c r="J18" s="43" t="n"/>
    </row>
    <row r="19" ht="22" customHeight="1">
      <c r="B19" s="8" t="inlineStr">
        <is>
          <t>Oficina de Gestão + Cursos Técnicos + EAD</t>
        </is>
      </c>
      <c r="C19" s="43" t="n"/>
      <c r="D19" s="35" t="n"/>
      <c r="E19" s="35" t="n"/>
      <c r="F19" s="35" t="n"/>
      <c r="G19" s="35" t="n"/>
      <c r="H19" s="35" t="n"/>
      <c r="I19" s="35" t="n"/>
      <c r="J19" s="43" t="n"/>
    </row>
    <row r="20" ht="22" customHeight="1">
      <c r="B20" s="8" t="inlineStr">
        <is>
          <t>Consultoria Individual</t>
        </is>
      </c>
      <c r="C20" s="43" t="n"/>
      <c r="D20" s="43" t="n"/>
      <c r="E20" s="39" t="n"/>
      <c r="F20" s="39" t="n"/>
      <c r="G20" s="39" t="n"/>
      <c r="H20" s="39" t="n"/>
      <c r="I20" s="43" t="n"/>
      <c r="J20" s="43" t="n"/>
    </row>
    <row r="22">
      <c r="B22" s="17" t="inlineStr">
        <is>
          <t>RECURSOS EXIGIDOS</t>
        </is>
      </c>
    </row>
    <row r="23" ht="22" customHeight="1">
      <c r="B23" s="109" t="inlineStr">
        <is>
          <t>•  3 salas dedicadas para o Desenvolvimento Humano, disponíveis à noite, de segunda a sexta.</t>
        </is>
      </c>
    </row>
    <row r="24" ht="22" customHeight="1">
      <c r="B24" s="109" t="inlineStr">
        <is>
          <t>•  Espaço adicional para a Oficina de Gestão (variante em discussão — pode ser 3 espaços extras ou o reaproveitamento das mesmas 3 salas, com atraso).</t>
        </is>
      </c>
    </row>
    <row r="25" ht="22" customHeight="1">
      <c r="B25" s="109" t="inlineStr">
        <is>
          <t>•  Fornecedores contratados para os cursos técnicos (SENAI, SENAC, Fundo Social e um fornecedor de Jardinagem ainda não definido).</t>
        </is>
      </c>
    </row>
    <row r="26" ht="22" customHeight="1">
      <c r="B26" s="109" t="inlineStr">
        <is>
          <t>•  Consultores para a Consultoria Individual — capacidade a confirmar (ver premissas internas).</t>
        </is>
      </c>
    </row>
    <row r="28">
      <c r="B28" s="17" t="inlineStr">
        <is>
          <t>DECISÕES PENDENTES</t>
        </is>
      </c>
    </row>
    <row r="29" ht="22" customHeight="1">
      <c r="B29" s="109" t="inlineStr">
        <is>
          <t>•  Confirmar disponibilidade de 3 salas para o Desenvolvimento Humano.</t>
        </is>
      </c>
    </row>
    <row r="30" ht="22" customHeight="1">
      <c r="B30" s="109" t="inlineStr">
        <is>
          <t>•  Definir a carga horária oficial do Desenvolvimento Humano (20h ou 22h).</t>
        </is>
      </c>
    </row>
    <row r="31" ht="22" customHeight="1">
      <c r="B31" s="109" t="inlineStr">
        <is>
          <t>•  Decidir o espaço físico da Oficina de Gestão (espaço adicional ou salas compartilhadas com o DH).</t>
        </is>
      </c>
    </row>
    <row r="32" ht="22" customHeight="1">
      <c r="B32" s="109" t="inlineStr">
        <is>
          <t>•  Confirmar se a meta de Cursos Técnicos em Paulínia é 10 ou 13 turmas.</t>
        </is>
      </c>
    </row>
    <row r="33" ht="22" customHeight="1">
      <c r="B33" s="109" t="inlineStr">
        <is>
          <t>•  Confirmar fornecedor do curso de Jardinagem.</t>
        </is>
      </c>
    </row>
    <row r="35" ht="34" customHeight="1">
      <c r="B35" s="110" t="inlineStr">
        <is>
          <t>AVISO: as datas técnicas apresentadas neste material dependem de validação de quórum, contratação de fornecedores e confirmação de espaços físicos. Nenhuma data aqui é compromisso contratual.</t>
        </is>
      </c>
    </row>
  </sheetData>
  <mergeCells count="18">
    <mergeCell ref="B30:I30"/>
    <mergeCell ref="B35:I35"/>
    <mergeCell ref="B29:I29"/>
    <mergeCell ref="B7:I7"/>
    <mergeCell ref="B25:I25"/>
    <mergeCell ref="B33:I33"/>
    <mergeCell ref="B24:I24"/>
    <mergeCell ref="B2:I2"/>
    <mergeCell ref="B16:I16"/>
    <mergeCell ref="B28:I28"/>
    <mergeCell ref="B3:I3"/>
    <mergeCell ref="B5:I5"/>
    <mergeCell ref="B14:I14"/>
    <mergeCell ref="B22:I22"/>
    <mergeCell ref="B31:I31"/>
    <mergeCell ref="B23:I23"/>
    <mergeCell ref="B32:I32"/>
    <mergeCell ref="B26:I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/>
  </sheetPr>
  <dimension ref="B2:E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46" customWidth="1" min="4" max="4"/>
    <col width="16" customWidth="1" min="5" max="5"/>
    <col width="3" customWidth="1" min="6" max="6"/>
  </cols>
  <sheetData>
    <row r="2" ht="28" customHeight="1">
      <c r="B2" s="1" t="inlineStr">
        <is>
          <t>LOG DE ALTERAÇÕES — V1 → V2</t>
        </is>
      </c>
    </row>
    <row r="3">
      <c r="B3" s="2" t="inlineStr">
        <is>
          <t>Item a item, em resposta à revisão crítica solicitada pela coordenação</t>
        </is>
      </c>
    </row>
    <row r="5" ht="30" customHeight="1">
      <c r="B5" s="27" t="inlineStr">
        <is>
          <t>#</t>
        </is>
      </c>
      <c r="C5" s="27" t="inlineStr">
        <is>
          <t>Item da revisão crítica</t>
        </is>
      </c>
      <c r="D5" s="27" t="inlineStr">
        <is>
          <t>O que foi alterado nesta V2</t>
        </is>
      </c>
      <c r="E5" s="27" t="inlineStr">
        <is>
          <t>Abas afetadas</t>
        </is>
      </c>
    </row>
    <row r="6" ht="85" customHeight="1">
      <c r="B6" s="86" t="n">
        <v>1</v>
      </c>
      <c r="C6" s="8" t="inlineStr">
        <is>
          <t>Automação e premissas</t>
        </is>
      </c>
      <c r="D6" s="9" t="inlineStr">
        <is>
          <t>Removida a afirmação de que todas as premissas atualizam sozinhas. Adicionada uma matriz em 00_LEIA-ME e uma coluna "Automação" em 01_PREMISSAS mostrando o que é automático (fórmula) e o que exige rodar scripts/build_workbook.py. O "Cenário recomendado" agora é um dropdown que alimenta por fórmula (INDEX/MATCH) os destaques e marcos das abas 04 e 05.</t>
        </is>
      </c>
      <c r="E6" s="79" t="inlineStr">
        <is>
          <t>00, 01, 04, 05</t>
        </is>
      </c>
    </row>
    <row r="7" ht="85" customHeight="1">
      <c r="B7" s="86" t="n">
        <v>2</v>
      </c>
      <c r="C7" s="8" t="inlineStr">
        <is>
          <t>Capacidade de salas</t>
        </is>
      </c>
      <c r="D7" s="9" t="inlineStr">
        <is>
          <t>"Capacidade simultânea" foi substituída por dois indicadores: "Turmas ativas na mesma semana (pico)" e "Máximo de turmas na mesma noite" (igual ao nº de salas, por construção). Texto explica que o interleaving de dias aumenta turmas ativas, não o nº de salas físicas.</t>
        </is>
      </c>
      <c r="E7" s="79" t="inlineStr">
        <is>
          <t>05, 06, 07, 08, 09</t>
        </is>
      </c>
    </row>
    <row r="8" ht="85" customHeight="1">
      <c r="B8" s="86" t="n">
        <v>3</v>
      </c>
      <c r="C8" s="8" t="inlineStr">
        <is>
          <t>Oficina de Gestão e espaços adicionais</t>
        </is>
      </c>
      <c r="D8" s="9" t="inlineStr">
        <is>
          <t>Criadas as variantes B1 (3 salas de DH + 3 espaços adicionais, NÃO confirmado) e B2 (3 salas compartilhadas, OG só após o fim total do DH). Comparação completa (datas, conflitos, necessidade de espaços, risco) na aba 07_CENARIO_B. Nenhuma das duas é tratada como confirmada.</t>
        </is>
      </c>
      <c r="E8" s="79" t="inlineStr">
        <is>
          <t>01, 07, 10, 11, 13, 16, 19</t>
        </is>
      </c>
    </row>
    <row r="9" ht="85" customHeight="1">
      <c r="B9" s="86" t="n">
        <v>4</v>
      </c>
      <c r="C9" s="8" t="inlineStr">
        <is>
          <t>Viabilidade do cenário recomendado</t>
        </is>
      </c>
      <c r="D9" s="9" t="inlineStr">
        <is>
          <t>"Altamente viável" substituído por "Menor duração — recomendado para negociação, condicionado à validação de salas, facilitadores, adesão dos participantes e espaços para OG." Destaque de linha mudou de verde (aprovado) para o texto condicionado; título das abas 06-09 não usa mais "recomendado" isolado.</t>
        </is>
      </c>
      <c r="E9" s="79" t="inlineStr">
        <is>
          <t>04, 05, 06-09</t>
        </is>
      </c>
    </row>
    <row r="10" ht="85" customHeight="1">
      <c r="B10" s="86" t="n">
        <v>5</v>
      </c>
      <c r="C10" s="8" t="inlineStr">
        <is>
          <t>Quórum e contingência</t>
        </is>
      </c>
      <c r="D10" s="9" t="inlineStr">
        <is>
          <t>Adicionado, em cada cenário (06-09), um bloco "Marcos de validação de quórum por lote" (data planejada, janela de contingência, impacto de atraso de 7 dias, risco, status "Condicionado à formação de turma") e uma "Simulação de atraso de 7 dias" com dois cenários (otimista/conservador).</t>
        </is>
      </c>
      <c r="E10" s="79" t="inlineStr">
        <is>
          <t>03, 06, 07, 08, 09, 16</t>
        </is>
      </c>
    </row>
    <row r="11" ht="85" customHeight="1">
      <c r="B11" s="86" t="n">
        <v>6</v>
      </c>
      <c r="C11" s="8" t="inlineStr">
        <is>
          <t>Cursos técnicos</t>
        </is>
      </c>
      <c r="D11" s="9" t="inlineStr">
        <is>
          <t>Todas as datas de CT reclassificadas como "Data proposta para simulação — pendente de quórum, contratação e validação do fornecedor". Adicionadas colunas: DH concluídas antes da abertura, participantes estimados, quórum mínimo, fornecedor confirmado?, local confirmado?, data validada?, responsável.</t>
        </is>
      </c>
      <c r="E11" s="79" t="inlineStr">
        <is>
          <t>01, 14</t>
        </is>
      </c>
    </row>
    <row r="12" ht="85" customHeight="1">
      <c r="B12" s="86" t="n">
        <v>7</v>
      </c>
      <c r="C12" s="8" t="inlineStr">
        <is>
          <t>Consultorias individuais</t>
        </is>
      </c>
      <c r="D12" s="9" t="inlineStr">
        <is>
          <t>Criada calculadora de capacidade com fórmulas reais e parâmetros editáveis (nº de consultores, horas/dia, dias/semana, atendimentos simultâneos). Calcula semanas necessárias e data de conclusão estimada, e compara com uma data proposta editável.</t>
        </is>
      </c>
      <c r="E12" s="79" t="inlineStr">
        <is>
          <t>01, 15</t>
        </is>
      </c>
    </row>
    <row r="13" ht="85" customHeight="1">
      <c r="B13" s="86" t="n">
        <v>8</v>
      </c>
      <c r="C13" s="8" t="inlineStr">
        <is>
          <t>Texto do resumo executivo</t>
        </is>
      </c>
      <c r="D13" s="9" t="inlineStr">
        <is>
          <t>Substituído o texto que dava a entender que tudo terminava antes do recesso pelo texto: "O cenário B conclui o Desenvolvimento Humano antes do recesso e antecipa o início das etapas seguintes. Parte dos cursos técnicos e das consultorias permanece programada para 2027."</t>
        </is>
      </c>
      <c r="E13" s="79" t="inlineStr">
        <is>
          <t>04, 18</t>
        </is>
      </c>
    </row>
    <row r="14" ht="85" customHeight="1">
      <c r="B14" s="86" t="n">
        <v>9</v>
      </c>
      <c r="C14" s="8" t="inlineStr">
        <is>
          <t>Feriados</t>
        </is>
      </c>
      <c r="D14" s="9" t="inlineStr">
        <is>
          <t>A checagem de feriado nos cenários 2x/semana (A e C) agora verifica se o feriado cai EXATAMENTE em um dia real de encontro da cadência da turma (ex.: Ter/Qui), e não apenas se está dentro do intervalo [início,término].</t>
        </is>
      </c>
      <c r="E14" s="79" t="inlineStr">
        <is>
          <t>06, 08 (e 07, 09 por consistência)</t>
        </is>
      </c>
    </row>
    <row r="15" ht="85" customHeight="1">
      <c r="B15" s="86" t="n">
        <v>10</v>
      </c>
      <c r="C15" s="8" t="inlineStr">
        <is>
          <t>Versão para parceiros</t>
        </is>
      </c>
      <c r="D15" s="9" t="inlineStr">
        <is>
          <t>Criada a aba 18_VISAO_PARA_PARCEIROS: página única com objetivo, os 4 cenários, recomendação condicionada, linha do tempo macro, recursos exigidos, decisões pendentes e aviso de que as datas dependem de validação — sem detalhe técnico operacional.</t>
        </is>
      </c>
      <c r="E15" s="79" t="inlineStr">
        <is>
          <t>18</t>
        </is>
      </c>
    </row>
    <row r="16" ht="85" customHeight="1">
      <c r="B16" s="86" t="n">
        <v>11</v>
      </c>
      <c r="C16" s="8" t="inlineStr">
        <is>
          <t>Auditoria final</t>
        </is>
      </c>
      <c r="D16" s="9" t="inlineStr">
        <is>
          <t>Repetida a checagem de conflitos reais de sala (dia a dia, por cadência), dependências entre etapas, capacidade das consultorias e rastreamento de toda data provisória. Nenhuma informação não confirmada aparece como fato nesta versão. Este log resume o resultado.</t>
        </is>
      </c>
      <c r="E16" s="79" t="inlineStr">
        <is>
          <t>19 (esta aba)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2026-07-21T19:59:34Z</dcterms:created>
  <dcterms:modified xsi:type="dcterms:W3CDTF">2026-07-21T19:59:34Z</dcterms:modified>
</cp:coreProperties>
</file>